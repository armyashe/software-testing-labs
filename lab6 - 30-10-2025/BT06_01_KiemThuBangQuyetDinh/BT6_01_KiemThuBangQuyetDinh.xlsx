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List" sheetId="1" r:id="rId4"/>
    <sheet state="visible" name="Decision table" sheetId="2" r:id="rId5"/>
    <sheet state="visible" name="Test Cases Derived" sheetId="3" r:id="rId6"/>
  </sheets>
  <definedNames>
    <definedName name="ACTION">#REF!</definedName>
  </definedNames>
  <calcPr/>
  <extLst>
    <ext uri="GoogleSheetsCustomDataVersion2">
      <go:sheetsCustomData xmlns:go="http://customooxmlschemas.google.com/" r:id="rId7" roundtripDataChecksum="nyWPBNqncVZf8Nf9zue5IUdWhVY8+xzYfzqIE6j8QiQ="/>
    </ext>
  </extLst>
</workbook>
</file>

<file path=xl/sharedStrings.xml><?xml version="1.0" encoding="utf-8"?>
<sst xmlns="http://schemas.openxmlformats.org/spreadsheetml/2006/main" count="217" uniqueCount="116">
  <si>
    <t>TEST CASE LIST</t>
  </si>
  <si>
    <t>Project Name</t>
  </si>
  <si>
    <t>Retail and Non Retail customer</t>
  </si>
  <si>
    <t>Project Code</t>
  </si>
  <si>
    <t>RANRC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</si>
  <si>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</si>
  <si>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</si>
  <si>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</si>
  <si>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</si>
  <si>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</si>
  <si>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</si>
  <si>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</si>
  <si>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Counter Sales Transaction Processing</t>
  </si>
  <si>
    <t>Module1</t>
  </si>
  <si>
    <t>Handles counter sales for retail (optional customer) and non-retail (mandatory customer) transactions,
applies a 10% tax when both product and customer are taxable in domestic sales,
and validates all required fields before completing the transaction.</t>
  </si>
  <si>
    <t>The system is running and the Counter Sales module is accessible.</t>
  </si>
  <si>
    <t>Condition</t>
  </si>
  <si>
    <t>Action</t>
  </si>
  <si>
    <t xml:space="preserve">Rule </t>
  </si>
  <si>
    <t>Retail or Non-Retail?</t>
  </si>
  <si>
    <t>Customer Provided?</t>
  </si>
  <si>
    <t>Region Domestic?</t>
  </si>
  <si>
    <t>Product Taxable?</t>
  </si>
  <si>
    <t>Customer Taxable?</t>
  </si>
  <si>
    <t>Transaction Allowed?</t>
  </si>
  <si>
    <t>Tax = 10%?</t>
  </si>
  <si>
    <t>Error – Customer Mandatory?</t>
  </si>
  <si>
    <t>R1</t>
  </si>
  <si>
    <t>Retail</t>
  </si>
  <si>
    <t>Yes</t>
  </si>
  <si>
    <t>N</t>
  </si>
  <si>
    <t>R2</t>
  </si>
  <si>
    <t>R3</t>
  </si>
  <si>
    <t>Y</t>
  </si>
  <si>
    <t>R4</t>
  </si>
  <si>
    <t>R5</t>
  </si>
  <si>
    <t>R6</t>
  </si>
  <si>
    <t>R7</t>
  </si>
  <si>
    <t>Non-Retail</t>
  </si>
  <si>
    <t>R8</t>
  </si>
  <si>
    <t>R9</t>
  </si>
  <si>
    <t>R10</t>
  </si>
  <si>
    <t>Module Code</t>
  </si>
  <si>
    <t xml:space="preserve">Module1 </t>
  </si>
  <si>
    <t>Pass</t>
  </si>
  <si>
    <t>Test requirement</t>
  </si>
  <si>
    <t>Verify that products can be sold to retail (optional customer) and non-retail (mandatory customer) customers within domestic or overseas; apply 10% tax when both customer &amp; product are taxable (domestic only)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</si>
  <si>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</si>
  <si>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</si>
  <si>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</si>
  <si>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</si>
  <si>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</si>
  <si>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</si>
  <si>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</si>
  <si>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</si>
  <si>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</si>
  <si>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</si>
  <si>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Test data</t>
  </si>
  <si>
    <t>Result</t>
  </si>
  <si>
    <t>TC01</t>
  </si>
  <si>
    <t>Retail sale without customer (domestic, non-taxable)</t>
  </si>
  <si>
    <t>1. Open Counter Sales screen.
2. Choose Retail.
3. Do not select customer.
4. Enter domestic location (VNM).
5. Add product marked Non-taxable.
6. Finish &amp; Pay.</t>
  </si>
  <si>
    <t>System allows transaction.
No tax added.</t>
  </si>
  <si>
    <t>Country = VNM
Product.Taxable = N</t>
  </si>
  <si>
    <t>Valid retail transaction without tax</t>
  </si>
  <si>
    <t>TC02</t>
  </si>
  <si>
    <t>Retail sale with both taxable (domestic)</t>
  </si>
  <si>
    <t>1. Open Counter Sales.
2. Choose Retail.
3. Select taxable customer.
4. Enter domestic location (VNM).
5. Add product marked taxable.
6. Finish &amp; Pay.</t>
  </si>
  <si>
    <t>10% tax automatically calculated on subtotal.</t>
  </si>
  <si>
    <t>Country = VNM
Product.Taxable = Y
Customer.Taxable = Y</t>
  </si>
  <si>
    <t>Tax correctly applied only when both taxable</t>
  </si>
  <si>
    <t>TC03</t>
  </si>
  <si>
    <t>Non-retail sale without customer</t>
  </si>
  <si>
    <t>1. Open Counter Sales.
2. Choose Non-retail.
3. Leave customer blank.
4. Add any product.
5. Try to finish.</t>
  </si>
  <si>
    <t>Error message “Customer mandatory for non-retail sale.”</t>
  </si>
  <si>
    <t>Invalid transaction; missing mandatory field</t>
  </si>
  <si>
    <t>TC04</t>
  </si>
  <si>
    <t>Retail sale with taxable product only</t>
  </si>
  <si>
    <t>1. Open Counter Sales.
2. Choose Retail.
3. Select non-taxable customer.
4. Add taxable product.
5. Finish &amp; Pay.</t>
  </si>
  <si>
    <t>System allows sale. No tax applied.</t>
  </si>
  <si>
    <t>Product.Taxable=Y
Customer.Taxable=N
Country=VNM</t>
  </si>
  <si>
    <t>Tax not applied if only product is taxabl</t>
  </si>
  <si>
    <t>TC05</t>
  </si>
  <si>
    <t>Retail sale with non-taxable product only</t>
  </si>
  <si>
    <t>1. Open Counter Sales.
2. Choose Retail.
3. Select taxable customer.
4. Add non-taxable product.
5. Finish &amp; Pay.</t>
  </si>
  <si>
    <t>"Product.Taxable=N
Customer.Taxable=Y
Country=VNM"</t>
  </si>
  <si>
    <t>Tax not applied if only customer is taxable</t>
  </si>
  <si>
    <t>TC06</t>
  </si>
  <si>
    <t>Retail sale overseas (both taxable)</t>
  </si>
  <si>
    <t>1. Open Counter Sales.
2. Choose Retail.
3. Select taxable customer.
4. Add taxable product.
5. Choose overseas location.
6. Finish &amp; Pay.</t>
  </si>
  <si>
    <t>No tax applied for overseas transactions.</t>
  </si>
  <si>
    <t>Country=USA
Product.Taxable=Y
Customer.Taxable=Y</t>
  </si>
  <si>
    <t>Overseas sales exempt from domestic tax rule</t>
  </si>
  <si>
    <t>TC07</t>
  </si>
  <si>
    <t>Non-retail sale domestic both non-taxable</t>
  </si>
  <si>
    <t>1. Open Counter Sales.
2. Choose Non-retail.
3. Select customer.
4. Add non-taxable product.
5. Finish &amp; Pay.</t>
  </si>
  <si>
    <t>Transaction valid. No tax applied.</t>
  </si>
  <si>
    <t>Country=VNM
Product.Taxable=N
Customer.Taxable=N</t>
  </si>
  <si>
    <t>Non-retail domestic sale without tax</t>
  </si>
  <si>
    <t>TC08</t>
  </si>
  <si>
    <t>Non-retail sale domestic both taxable</t>
  </si>
  <si>
    <t>1. Open Counter Sales.
2. Choose Non-retail.
3. Select taxable customer.
4. Add taxable product.
5. Finish &amp; Pay.</t>
  </si>
  <si>
    <t>10% tax applied to subtotal.</t>
  </si>
  <si>
    <t>Country=VNM
Product.Taxable=Y
Customer.Taxable=Y</t>
  </si>
  <si>
    <t>Valid sale with correct 10% tax computation</t>
  </si>
  <si>
    <t>TC09</t>
  </si>
  <si>
    <t>Non-retail sale overseas both taxabl</t>
  </si>
  <si>
    <t>1. Open Counter Sales.
2. Choose Non-retail.
3. Select taxable customer.
4. Add taxable product.
5. Set location to overseas.
6. Finish &amp; Pay.</t>
  </si>
  <si>
    <t>No tax applied for overseas sale.</t>
  </si>
  <si>
    <t>Overseas non-retail transaction without tax</t>
  </si>
  <si>
    <t>TC10</t>
  </si>
  <si>
    <t>Retail sale with customer provided (domestic, both non-taxable)</t>
  </si>
  <si>
    <t>1. Open Counter Sales screen.
2. Choose Retail.
3. Select a non-taxable customer.
4. Location = VNM (domestic).
5. Add a non-taxable product.
6. Finish &amp; Pay.</t>
  </si>
  <si>
    <t>System allows transaction. No tax added.</t>
  </si>
  <si>
    <t>Country = VNM; Product.Taxable = N; Customer.Taxable = N</t>
  </si>
  <si>
    <t>Retail sale with customer but neither taxable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</si>
</sst>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rgb="FF000000"/>
      <name val="MS PGothic"/>
      <scheme val="minor"/>
    </font>
    <font>
      <sz val="10.0"/>
      <color theme="1"/>
      <name val="Tahoma"/>
    </font>
    <font>
      <b/>
      <sz val="20.0"/>
      <color rgb="FF000000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rgb="FF993300"/>
      <name val="Tahoma"/>
    </font>
    <font/>
    <font>
      <sz val="10.0"/>
      <color rgb="FF0080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b/>
      <sz val="10.0"/>
      <color rgb="FFFFFF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b/>
      <color theme="1"/>
      <name val="Times New Roman"/>
    </font>
    <font>
      <color theme="1"/>
      <name val="Times New Roman"/>
    </font>
    <font>
      <sz val="10.0"/>
      <color rgb="FF000000"/>
      <name val="Tahoma"/>
    </font>
    <font>
      <sz val="10.0"/>
      <color rgb="FFFF0000"/>
      <name val="Tahoma"/>
    </font>
    <font>
      <b/>
      <sz val="10.0"/>
      <color theme="1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0080"/>
        <bgColor rgb="FF000080"/>
      </patternFill>
    </fill>
  </fills>
  <borders count="3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bottom/>
    </border>
    <border>
      <left/>
      <right/>
      <top/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/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2" fillId="2" fontId="5" numFmtId="1" xfId="0" applyAlignment="1" applyBorder="1" applyFont="1" applyNumberFormat="1">
      <alignment shrinkToFit="0" vertical="bottom" wrapText="0"/>
    </xf>
    <xf borderId="3" fillId="0" fontId="6" numFmtId="0" xfId="0" applyBorder="1" applyFont="1"/>
    <xf borderId="2" fillId="2" fontId="7" numFmtId="0" xfId="0" applyAlignment="1" applyBorder="1" applyFont="1">
      <alignment horizontal="left" readingOrder="0" shrinkToFit="0" vertical="bottom" wrapText="0"/>
    </xf>
    <xf borderId="4" fillId="0" fontId="6" numFmtId="0" xfId="0" applyBorder="1" applyFont="1"/>
    <xf borderId="2" fillId="2" fontId="8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5" numFmtId="1" xfId="0" applyAlignment="1" applyBorder="1" applyFont="1" applyNumberFormat="1">
      <alignment shrinkToFit="0" vertical="center" wrapText="1"/>
    </xf>
    <xf borderId="2" fillId="2" fontId="8" numFmtId="0" xfId="0" applyAlignment="1" applyBorder="1" applyFont="1">
      <alignment shrinkToFit="0" vertical="top" wrapText="1"/>
    </xf>
    <xf borderId="1" fillId="2" fontId="5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9" numFmtId="0" xfId="0" applyAlignment="1" applyBorder="1" applyFont="1">
      <alignment horizontal="center" shrinkToFit="0" vertical="bottom" wrapText="0"/>
    </xf>
    <xf borderId="5" fillId="3" fontId="10" numFmtId="1" xfId="0" applyAlignment="1" applyBorder="1" applyFill="1" applyFont="1" applyNumberFormat="1">
      <alignment horizontal="center" shrinkToFit="0" vertical="center" wrapText="0"/>
    </xf>
    <xf borderId="6" fillId="3" fontId="10" numFmtId="0" xfId="0" applyAlignment="1" applyBorder="1" applyFont="1">
      <alignment horizontal="center" shrinkToFit="0" vertical="center" wrapText="0"/>
    </xf>
    <xf borderId="7" fillId="3" fontId="10" numFmtId="0" xfId="0" applyAlignment="1" applyBorder="1" applyFont="1">
      <alignment horizontal="center" shrinkToFit="0" vertical="center" wrapText="0"/>
    </xf>
    <xf borderId="8" fillId="3" fontId="10" numFmtId="0" xfId="0" applyAlignment="1" applyBorder="1" applyFont="1">
      <alignment horizontal="center" shrinkToFit="0" vertical="center" wrapText="0"/>
    </xf>
    <xf borderId="9" fillId="2" fontId="1" numFmtId="1" xfId="0" applyAlignment="1" applyBorder="1" applyFont="1" applyNumberFormat="1">
      <alignment horizontal="center" readingOrder="0" shrinkToFit="0" vertical="center" wrapText="0"/>
    </xf>
    <xf borderId="10" fillId="2" fontId="1" numFmtId="49" xfId="0" applyAlignment="1" applyBorder="1" applyFont="1" applyNumberFormat="1">
      <alignment horizontal="center" readingOrder="0" shrinkToFit="0" vertical="center" wrapText="0"/>
    </xf>
    <xf borderId="10" fillId="2" fontId="11" numFmtId="0" xfId="0" applyAlignment="1" applyBorder="1" applyFont="1">
      <alignment horizontal="center" readingOrder="0" shrinkToFit="0" vertical="center" wrapText="0"/>
    </xf>
    <xf borderId="10" fillId="2" fontId="12" numFmtId="0" xfId="0" applyAlignment="1" applyBorder="1" applyFont="1">
      <alignment horizontal="left" readingOrder="0" shrinkToFit="0" vertical="center" wrapText="0"/>
    </xf>
    <xf borderId="11" fillId="2" fontId="1" numFmtId="0" xfId="0" applyAlignment="1" applyBorder="1" applyFont="1">
      <alignment horizontal="left" readingOrder="0" shrinkToFit="0" vertical="center" wrapText="0"/>
    </xf>
    <xf borderId="12" fillId="2" fontId="1" numFmtId="1" xfId="0" applyAlignment="1" applyBorder="1" applyFont="1" applyNumberFormat="1">
      <alignment shrinkToFit="0" vertical="bottom" wrapText="0"/>
    </xf>
    <xf borderId="12" fillId="2" fontId="1" numFmtId="0" xfId="0" applyAlignment="1" applyBorder="1" applyFont="1">
      <alignment horizontal="left" shrinkToFit="0" vertical="bottom" wrapText="0"/>
    </xf>
    <xf borderId="0" fillId="4" fontId="13" numFmtId="0" xfId="0" applyAlignment="1" applyFill="1" applyFont="1">
      <alignment horizontal="center" readingOrder="0"/>
    </xf>
    <xf borderId="0" fillId="5" fontId="13" numFmtId="0" xfId="0" applyAlignment="1" applyFill="1" applyFont="1">
      <alignment horizontal="center" readingOrder="0"/>
    </xf>
    <xf borderId="0" fillId="4" fontId="14" numFmtId="0" xfId="0" applyAlignment="1" applyFont="1">
      <alignment readingOrder="0"/>
    </xf>
    <xf borderId="0" fillId="5" fontId="14" numFmtId="0" xfId="0" applyAlignment="1" applyFont="1">
      <alignment readingOrder="0"/>
    </xf>
    <xf borderId="13" fillId="2" fontId="15" numFmtId="0" xfId="0" applyAlignment="1" applyBorder="1" applyFont="1">
      <alignment shrinkToFit="0" vertical="bottom" wrapText="0"/>
    </xf>
    <xf borderId="13" fillId="2" fontId="15" numFmtId="0" xfId="0" applyAlignment="1" applyBorder="1" applyFont="1">
      <alignment shrinkToFit="0" vertical="bottom" wrapText="1"/>
    </xf>
    <xf borderId="13" fillId="2" fontId="1" numFmtId="0" xfId="0" applyAlignment="1" applyBorder="1" applyFont="1">
      <alignment shrinkToFit="0" vertical="bottom" wrapText="1"/>
    </xf>
    <xf borderId="1" fillId="2" fontId="9" numFmtId="0" xfId="0" applyAlignment="1" applyBorder="1" applyFont="1">
      <alignment shrinkToFit="0" vertical="bottom" wrapText="1"/>
    </xf>
    <xf borderId="1" fillId="2" fontId="16" numFmtId="0" xfId="0" applyAlignment="1" applyBorder="1" applyFont="1">
      <alignment shrinkToFit="0" vertical="bottom" wrapText="1"/>
    </xf>
    <xf borderId="1" fillId="2" fontId="15" numFmtId="0" xfId="0" applyAlignment="1" applyBorder="1" applyFont="1">
      <alignment shrinkToFit="0" vertical="bottom" wrapText="0"/>
    </xf>
    <xf borderId="14" fillId="2" fontId="9" numFmtId="0" xfId="0" applyAlignment="1" applyBorder="1" applyFont="1">
      <alignment horizontal="left" shrinkToFit="0" vertical="bottom" wrapText="1"/>
    </xf>
    <xf borderId="15" fillId="0" fontId="6" numFmtId="0" xfId="0" applyBorder="1" applyFont="1"/>
    <xf borderId="2" fillId="2" fontId="8" numFmtId="0" xfId="0" applyAlignment="1" applyBorder="1" applyFont="1">
      <alignment horizontal="left" shrinkToFit="0" vertical="bottom" wrapText="1"/>
    </xf>
    <xf borderId="16" fillId="0" fontId="6" numFmtId="0" xfId="0" applyBorder="1" applyFont="1"/>
    <xf borderId="17" fillId="2" fontId="9" numFmtId="0" xfId="0" applyAlignment="1" applyBorder="1" applyFont="1">
      <alignment horizontal="left" shrinkToFit="0" vertical="bottom" wrapText="1"/>
    </xf>
    <xf borderId="2" fillId="2" fontId="8" numFmtId="0" xfId="0" applyAlignment="1" applyBorder="1" applyFont="1">
      <alignment horizontal="left" readingOrder="0" shrinkToFit="0" vertical="bottom" wrapText="1"/>
    </xf>
    <xf borderId="18" fillId="2" fontId="8" numFmtId="0" xfId="0" applyAlignment="1" applyBorder="1" applyFont="1">
      <alignment horizontal="left" shrinkToFit="0" vertical="bottom" wrapText="1"/>
    </xf>
    <xf borderId="19" fillId="0" fontId="6" numFmtId="0" xfId="0" applyBorder="1" applyFont="1"/>
    <xf borderId="20" fillId="0" fontId="6" numFmtId="0" xfId="0" applyBorder="1" applyFont="1"/>
    <xf borderId="1" fillId="2" fontId="3" numFmtId="0" xfId="0" applyAlignment="1" applyBorder="1" applyFont="1">
      <alignment shrinkToFit="0" vertical="bottom" wrapText="0"/>
    </xf>
    <xf borderId="17" fillId="2" fontId="3" numFmtId="0" xfId="0" applyAlignment="1" applyBorder="1" applyFont="1">
      <alignment horizontal="center" shrinkToFit="0" vertical="center" wrapText="0"/>
    </xf>
    <xf borderId="21" fillId="2" fontId="3" numFmtId="0" xfId="0" applyAlignment="1" applyBorder="1" applyFont="1">
      <alignment horizontal="center" shrinkToFit="0" vertical="center" wrapText="1"/>
    </xf>
    <xf borderId="22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16" numFmtId="0" xfId="0" applyAlignment="1" applyBorder="1" applyFont="1">
      <alignment horizontal="center" shrinkToFit="0" vertical="bottom" wrapText="1"/>
    </xf>
    <xf borderId="23" fillId="2" fontId="15" numFmtId="0" xfId="0" applyAlignment="1" applyBorder="1" applyFont="1">
      <alignment horizontal="center" shrinkToFit="0" vertical="center" wrapText="0"/>
    </xf>
    <xf borderId="24" fillId="0" fontId="6" numFmtId="0" xfId="0" applyBorder="1" applyFont="1"/>
    <xf borderId="25" fillId="2" fontId="15" numFmtId="0" xfId="0" applyAlignment="1" applyBorder="1" applyFont="1">
      <alignment horizontal="center" shrinkToFit="0" vertical="center" wrapText="0"/>
    </xf>
    <xf borderId="26" fillId="2" fontId="15" numFmtId="0" xfId="0" applyAlignment="1" applyBorder="1" applyFont="1">
      <alignment horizontal="center" shrinkToFit="0" vertical="center" wrapText="0"/>
    </xf>
    <xf borderId="27" fillId="2" fontId="15" numFmtId="0" xfId="0" applyAlignment="1" applyBorder="1" applyFont="1">
      <alignment horizontal="center" shrinkToFit="0" vertical="center" wrapText="1"/>
    </xf>
    <xf borderId="28" fillId="0" fontId="6" numFmtId="0" xfId="0" applyBorder="1" applyFont="1"/>
    <xf borderId="1" fillId="2" fontId="15" numFmtId="0" xfId="0" applyAlignment="1" applyBorder="1" applyFont="1">
      <alignment horizontal="center" shrinkToFit="0" vertical="bottom" wrapText="1"/>
    </xf>
    <xf borderId="21" fillId="6" fontId="10" numFmtId="0" xfId="0" applyAlignment="1" applyBorder="1" applyFill="1" applyFont="1">
      <alignment horizontal="center" shrinkToFit="0" vertical="center" wrapText="1"/>
    </xf>
    <xf borderId="29" fillId="6" fontId="10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21" fillId="2" fontId="17" numFmtId="0" xfId="0" applyAlignment="1" applyBorder="1" applyFont="1">
      <alignment readingOrder="0" shrinkToFit="0" vertical="center" wrapText="1"/>
    </xf>
    <xf borderId="21" fillId="2" fontId="18" numFmtId="0" xfId="0" applyAlignment="1" applyBorder="1" applyFont="1">
      <alignment readingOrder="0" shrinkToFit="0" vertical="center" wrapText="1"/>
    </xf>
    <xf borderId="21" fillId="2" fontId="15" numFmtId="0" xfId="0" applyAlignment="1" applyBorder="1" applyFont="1">
      <alignment horizontal="left" readingOrder="0" shrinkToFit="0" vertical="top" wrapText="1"/>
    </xf>
    <xf borderId="21" fillId="2" fontId="18" numFmtId="0" xfId="0" applyAlignment="1" applyBorder="1" applyFont="1">
      <alignment horizontal="left" readingOrder="0" shrinkToFit="0" vertical="center" wrapText="1"/>
    </xf>
    <xf borderId="21" fillId="2" fontId="1" numFmtId="0" xfId="0" applyAlignment="1" applyBorder="1" applyFont="1">
      <alignment shrinkToFit="0" vertical="top" wrapText="1"/>
    </xf>
    <xf borderId="1" fillId="2" fontId="16" numFmtId="0" xfId="0" applyAlignment="1" applyBorder="1" applyFont="1">
      <alignment shrinkToFit="0" vertical="top" wrapText="1"/>
    </xf>
    <xf borderId="21" fillId="2" fontId="18" numFmtId="0" xfId="0" applyAlignment="1" applyBorder="1" applyFont="1">
      <alignment horizontal="left" shrinkToFit="0" vertical="center" wrapText="1"/>
    </xf>
    <xf borderId="21" fillId="2" fontId="17" numFmtId="0" xfId="0" applyAlignment="1" applyBorder="1" applyFont="1">
      <alignment readingOrder="0" shrinkToFit="0" vertical="top" wrapText="1"/>
    </xf>
    <xf borderId="21" fillId="2" fontId="1" numFmtId="0" xfId="0" applyAlignment="1" applyBorder="1" applyFont="1">
      <alignment readingOrder="0" shrinkToFit="0" vertical="center" wrapText="1"/>
    </xf>
    <xf borderId="21" fillId="2" fontId="1" numFmtId="0" xfId="0" applyAlignment="1" applyBorder="1" applyFont="1">
      <alignment readingOrder="0" shrinkToFit="0" vertical="top" wrapText="1"/>
    </xf>
    <xf borderId="30" fillId="2" fontId="16" numFmtId="0" xfId="0" applyAlignment="1" applyBorder="1" applyFont="1">
      <alignment shrinkToFit="0" vertical="top" wrapText="0"/>
    </xf>
    <xf borderId="1" fillId="2" fontId="1" numFmtId="0" xfId="0" applyAlignment="1" applyBorder="1" applyFont="1">
      <alignment shrinkToFit="0" vertical="top" wrapText="0"/>
    </xf>
    <xf borderId="12" fillId="2" fontId="1" numFmtId="0" xfId="0" applyAlignment="1" applyBorder="1" applyFont="1">
      <alignment shrinkToFit="0" vertical="bottom" wrapText="0"/>
    </xf>
    <xf borderId="1" fillId="2" fontId="1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28.25"/>
    <col customWidth="1" min="4" max="4" width="17.13"/>
    <col customWidth="1" min="5" max="5" width="76.38"/>
    <col customWidth="1" min="6" max="6" width="49.63"/>
    <col customWidth="1" min="7" max="26" width="8.0"/>
  </cols>
  <sheetData>
    <row r="1" ht="24.0" customHeight="1">
      <c r="A1" s="1"/>
      <c r="B1" s="2"/>
      <c r="C1" s="3"/>
      <c r="D1" s="4" t="s">
        <v>0</v>
      </c>
      <c r="E1" s="5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2"/>
      <c r="C2" s="3"/>
      <c r="D2" s="6"/>
      <c r="E2" s="6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7" t="s">
        <v>1</v>
      </c>
      <c r="C3" s="8"/>
      <c r="D3" s="9" t="s">
        <v>2</v>
      </c>
      <c r="E3" s="8"/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7" t="s">
        <v>3</v>
      </c>
      <c r="C4" s="8"/>
      <c r="D4" s="11" t="s">
        <v>4</v>
      </c>
      <c r="E4" s="8"/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4.75" customHeight="1">
      <c r="A5" s="12"/>
      <c r="B5" s="13" t="s">
        <v>5</v>
      </c>
      <c r="C5" s="10"/>
      <c r="D5" s="14" t="s">
        <v>6</v>
      </c>
      <c r="E5" s="8"/>
      <c r="F5" s="10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1"/>
      <c r="B6" s="1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6"/>
      <c r="B7" s="17"/>
      <c r="C7" s="18"/>
      <c r="D7" s="18"/>
      <c r="E7" s="18"/>
      <c r="F7" s="18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1.0" customHeight="1">
      <c r="A8" s="19"/>
      <c r="B8" s="20" t="s">
        <v>7</v>
      </c>
      <c r="C8" s="21" t="s">
        <v>8</v>
      </c>
      <c r="D8" s="21" t="s">
        <v>9</v>
      </c>
      <c r="E8" s="22" t="s">
        <v>10</v>
      </c>
      <c r="F8" s="23" t="s">
        <v>11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64.5" customHeight="1">
      <c r="A9" s="1"/>
      <c r="B9" s="24">
        <v>1.0</v>
      </c>
      <c r="C9" s="25" t="s">
        <v>12</v>
      </c>
      <c r="D9" s="26" t="s">
        <v>13</v>
      </c>
      <c r="E9" s="27" t="s">
        <v>14</v>
      </c>
      <c r="F9" s="28" t="s">
        <v>15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9"/>
      <c r="C10" s="30"/>
      <c r="D10" s="30"/>
      <c r="E10" s="30"/>
      <c r="F10" s="3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2"/>
      <c r="C11" s="3"/>
      <c r="D11" s="3"/>
      <c r="E11" s="3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"/>
      <c r="C12" s="3"/>
      <c r="D12" s="3"/>
      <c r="E12" s="3"/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"/>
      <c r="C13" s="3"/>
      <c r="D13" s="3"/>
      <c r="E13" s="3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2"/>
      <c r="C14" s="3"/>
      <c r="D14" s="3"/>
      <c r="E14" s="3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"/>
      <c r="C15" s="3"/>
      <c r="D15" s="3"/>
      <c r="E15" s="3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2"/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2"/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3"/>
      <c r="D25" s="3"/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3"/>
      <c r="D26" s="3"/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3"/>
      <c r="D27" s="3"/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3"/>
      <c r="D28" s="3"/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3"/>
      <c r="D29" s="3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3"/>
      <c r="D30" s="3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3"/>
      <c r="D31" s="3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3"/>
      <c r="D32" s="3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3"/>
      <c r="D33" s="3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3"/>
      <c r="D34" s="3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3"/>
      <c r="D35" s="3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3"/>
      <c r="D36" s="3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3"/>
      <c r="D37" s="3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3"/>
      <c r="D38" s="3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3"/>
      <c r="D39" s="3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3"/>
      <c r="D40" s="3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3"/>
      <c r="D41" s="3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3"/>
      <c r="D42" s="3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3"/>
      <c r="D43" s="3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3"/>
      <c r="D44" s="3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3"/>
      <c r="D45" s="3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3"/>
      <c r="D47" s="3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3"/>
      <c r="D48" s="3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3"/>
      <c r="D49" s="3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3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3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3"/>
      <c r="D53" s="3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3"/>
      <c r="D54" s="3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3"/>
      <c r="D55" s="3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3"/>
      <c r="D57" s="3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3"/>
      <c r="D58" s="3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3"/>
      <c r="D59" s="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3"/>
      <c r="D61" s="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3"/>
      <c r="D62" s="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3"/>
      <c r="D63" s="3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3"/>
      <c r="D64" s="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3"/>
      <c r="D67" s="3"/>
      <c r="E67" s="3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3"/>
      <c r="D68" s="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3"/>
      <c r="D69" s="3"/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3"/>
      <c r="D71" s="3"/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3"/>
      <c r="D72" s="3"/>
      <c r="E72" s="3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3"/>
      <c r="D73" s="3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3"/>
      <c r="D74" s="3"/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3"/>
      <c r="D75" s="3"/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3"/>
      <c r="D76" s="3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3"/>
      <c r="D77" s="3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3"/>
      <c r="D78" s="3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3"/>
      <c r="D79" s="3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3"/>
      <c r="D80" s="3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3"/>
      <c r="D81" s="3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3"/>
      <c r="D82" s="3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3"/>
      <c r="D83" s="3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3"/>
      <c r="D84" s="3"/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3"/>
      <c r="D85" s="3"/>
      <c r="E85" s="3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3"/>
      <c r="D86" s="3"/>
      <c r="E86" s="3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3"/>
      <c r="D87" s="3"/>
      <c r="E87" s="3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3"/>
      <c r="D88" s="3"/>
      <c r="E88" s="3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3"/>
      <c r="D89" s="3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3"/>
      <c r="D90" s="3"/>
      <c r="E90" s="3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3"/>
      <c r="D91" s="3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3"/>
      <c r="D92" s="3"/>
      <c r="E92" s="3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3"/>
      <c r="D93" s="3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3"/>
      <c r="D94" s="3"/>
      <c r="E94" s="3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3"/>
      <c r="D95" s="3"/>
      <c r="E95" s="3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3"/>
      <c r="D96" s="3"/>
      <c r="E96" s="3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3"/>
      <c r="D97" s="3"/>
      <c r="E97" s="3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3"/>
      <c r="D98" s="3"/>
      <c r="E98" s="3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3"/>
      <c r="D99" s="3"/>
      <c r="E99" s="3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3"/>
      <c r="D100" s="3"/>
      <c r="E100" s="3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3"/>
      <c r="D101" s="3"/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3"/>
      <c r="D102" s="3"/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3"/>
      <c r="D103" s="3"/>
      <c r="E103" s="3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3"/>
      <c r="D104" s="3"/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3"/>
      <c r="D105" s="3"/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3"/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3"/>
      <c r="D107" s="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3"/>
      <c r="D108" s="3"/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3"/>
      <c r="D109" s="3"/>
      <c r="E109" s="3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3"/>
      <c r="D110" s="3"/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3"/>
      <c r="D111" s="3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3"/>
      <c r="D112" s="3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3"/>
      <c r="D113" s="3"/>
      <c r="E113" s="3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3"/>
      <c r="D114" s="3"/>
      <c r="E114" s="3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3"/>
      <c r="D115" s="3"/>
      <c r="E115" s="3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3"/>
      <c r="D116" s="3"/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3"/>
      <c r="D117" s="3"/>
      <c r="E117" s="3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3"/>
      <c r="D118" s="3"/>
      <c r="E118" s="3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3"/>
      <c r="D119" s="3"/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3"/>
      <c r="D120" s="3"/>
      <c r="E120" s="3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3"/>
      <c r="D121" s="3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3"/>
      <c r="D122" s="3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3"/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3"/>
      <c r="D124" s="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3"/>
      <c r="D125" s="3"/>
      <c r="E125" s="3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3"/>
      <c r="D126" s="3"/>
      <c r="E126" s="3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3"/>
      <c r="D127" s="3"/>
      <c r="E127" s="3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3"/>
      <c r="D128" s="3"/>
      <c r="E128" s="3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3"/>
      <c r="D129" s="3"/>
      <c r="E129" s="3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3"/>
      <c r="D130" s="3"/>
      <c r="E130" s="3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3"/>
      <c r="D131" s="3"/>
      <c r="E131" s="3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3"/>
      <c r="D132" s="3"/>
      <c r="E132" s="3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3"/>
      <c r="D133" s="3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3"/>
      <c r="D134" s="3"/>
      <c r="E134" s="3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3"/>
      <c r="D135" s="3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3"/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3"/>
      <c r="D137" s="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3"/>
      <c r="D138" s="3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3"/>
      <c r="D139" s="3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3"/>
      <c r="D140" s="3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3"/>
      <c r="D141" s="3"/>
      <c r="E141" s="3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3"/>
      <c r="D142" s="3"/>
      <c r="E142" s="3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3"/>
      <c r="D143" s="3"/>
      <c r="E143" s="3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3"/>
      <c r="D144" s="3"/>
      <c r="E144" s="3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3"/>
      <c r="D145" s="3"/>
      <c r="E145" s="3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3"/>
      <c r="D146" s="3"/>
      <c r="E146" s="3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3"/>
      <c r="D147" s="3"/>
      <c r="E147" s="3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3"/>
      <c r="D148" s="3"/>
      <c r="E148" s="3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3"/>
      <c r="D149" s="3"/>
      <c r="E149" s="3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3"/>
      <c r="D150" s="3"/>
      <c r="E150" s="3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3"/>
      <c r="D151" s="3"/>
      <c r="E151" s="3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3"/>
      <c r="D152" s="3"/>
      <c r="E152" s="3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3"/>
      <c r="D153" s="3"/>
      <c r="E153" s="3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3"/>
      <c r="D154" s="3"/>
      <c r="E154" s="3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3"/>
      <c r="D155" s="3"/>
      <c r="E155" s="3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3"/>
      <c r="D156" s="3"/>
      <c r="E156" s="3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3"/>
      <c r="D157" s="3"/>
      <c r="E157" s="3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3"/>
      <c r="D158" s="3"/>
      <c r="E158" s="3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3"/>
      <c r="D159" s="3"/>
      <c r="E159" s="3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3"/>
      <c r="D160" s="3"/>
      <c r="E160" s="3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3"/>
      <c r="D161" s="3"/>
      <c r="E161" s="3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3"/>
      <c r="D162" s="3"/>
      <c r="E162" s="3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3"/>
      <c r="D163" s="3"/>
      <c r="E163" s="3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3"/>
      <c r="D164" s="3"/>
      <c r="E164" s="3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3"/>
      <c r="D165" s="3"/>
      <c r="E165" s="3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3"/>
      <c r="D166" s="3"/>
      <c r="E166" s="3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3"/>
      <c r="D167" s="3"/>
      <c r="E167" s="3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3"/>
      <c r="D168" s="3"/>
      <c r="E168" s="3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3"/>
      <c r="D169" s="3"/>
      <c r="E169" s="3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3"/>
      <c r="D170" s="3"/>
      <c r="E170" s="3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3"/>
      <c r="D171" s="3"/>
      <c r="E171" s="3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3"/>
      <c r="D172" s="3"/>
      <c r="E172" s="3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3"/>
      <c r="D173" s="3"/>
      <c r="E173" s="3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3"/>
      <c r="D174" s="3"/>
      <c r="E174" s="3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3"/>
      <c r="D175" s="3"/>
      <c r="E175" s="3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3"/>
      <c r="D176" s="3"/>
      <c r="E176" s="3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3"/>
      <c r="D177" s="3"/>
      <c r="E177" s="3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3"/>
      <c r="D178" s="3"/>
      <c r="E178" s="3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3"/>
      <c r="D179" s="3"/>
      <c r="E179" s="3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3"/>
      <c r="D180" s="3"/>
      <c r="E180" s="3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3"/>
      <c r="D181" s="3"/>
      <c r="E181" s="3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3"/>
      <c r="D182" s="3"/>
      <c r="E182" s="3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3"/>
      <c r="D183" s="3"/>
      <c r="E183" s="3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3"/>
      <c r="D184" s="3"/>
      <c r="E184" s="3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3"/>
      <c r="D185" s="3"/>
      <c r="E185" s="3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3"/>
      <c r="D186" s="3"/>
      <c r="E186" s="3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3"/>
      <c r="D187" s="3"/>
      <c r="E187" s="3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3"/>
      <c r="D188" s="3"/>
      <c r="E188" s="3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3"/>
      <c r="D189" s="3"/>
      <c r="E189" s="3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3"/>
      <c r="D190" s="3"/>
      <c r="E190" s="3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3"/>
      <c r="D191" s="3"/>
      <c r="E191" s="3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3"/>
      <c r="D192" s="3"/>
      <c r="E192" s="3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3"/>
      <c r="D193" s="3"/>
      <c r="E193" s="3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3"/>
      <c r="D194" s="3"/>
      <c r="E194" s="3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3"/>
      <c r="D195" s="3"/>
      <c r="E195" s="3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3"/>
      <c r="D196" s="3"/>
      <c r="E196" s="3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3"/>
      <c r="D197" s="3"/>
      <c r="E197" s="3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3"/>
      <c r="D198" s="3"/>
      <c r="E198" s="3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3"/>
      <c r="D199" s="3"/>
      <c r="E199" s="3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3"/>
      <c r="D200" s="3"/>
      <c r="E200" s="3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3"/>
      <c r="D201" s="3"/>
      <c r="E201" s="3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3"/>
      <c r="D202" s="3"/>
      <c r="E202" s="3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3"/>
      <c r="D203" s="3"/>
      <c r="E203" s="3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3"/>
      <c r="D204" s="3"/>
      <c r="E204" s="3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3"/>
      <c r="D205" s="3"/>
      <c r="E205" s="3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3"/>
      <c r="D206" s="3"/>
      <c r="E206" s="3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3"/>
      <c r="D207" s="3"/>
      <c r="E207" s="3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7.75"/>
    <col customWidth="1" min="3" max="3" width="17.25"/>
    <col customWidth="1" min="4" max="4" width="15.13"/>
    <col customWidth="1" min="5" max="5" width="14.75"/>
    <col customWidth="1" min="6" max="6" width="16.25"/>
    <col customWidth="1" min="7" max="7" width="18.13"/>
    <col customWidth="1" min="8" max="8" width="10.38"/>
    <col customWidth="1" min="9" max="9" width="25.38"/>
  </cols>
  <sheetData>
    <row r="1">
      <c r="A1" s="31" t="s">
        <v>16</v>
      </c>
      <c r="G1" s="32" t="s">
        <v>17</v>
      </c>
    </row>
    <row r="2">
      <c r="A2" s="31" t="s">
        <v>18</v>
      </c>
      <c r="B2" s="31" t="s">
        <v>19</v>
      </c>
      <c r="C2" s="31" t="s">
        <v>20</v>
      </c>
      <c r="D2" s="31" t="s">
        <v>21</v>
      </c>
      <c r="E2" s="31" t="s">
        <v>22</v>
      </c>
      <c r="F2" s="31" t="s">
        <v>23</v>
      </c>
      <c r="G2" s="32" t="s">
        <v>24</v>
      </c>
      <c r="H2" s="32" t="s">
        <v>25</v>
      </c>
      <c r="I2" s="32" t="s">
        <v>26</v>
      </c>
    </row>
    <row r="3">
      <c r="A3" s="33" t="s">
        <v>27</v>
      </c>
      <c r="B3" s="33" t="s">
        <v>28</v>
      </c>
      <c r="C3" s="33" t="s">
        <v>7</v>
      </c>
      <c r="D3" s="33" t="s">
        <v>29</v>
      </c>
      <c r="E3" s="33" t="s">
        <v>30</v>
      </c>
      <c r="F3" s="33" t="s">
        <v>30</v>
      </c>
      <c r="G3" s="34" t="s">
        <v>29</v>
      </c>
      <c r="H3" s="34" t="s">
        <v>7</v>
      </c>
      <c r="I3" s="34" t="s">
        <v>7</v>
      </c>
    </row>
    <row r="4">
      <c r="A4" s="33" t="s">
        <v>31</v>
      </c>
      <c r="B4" s="33" t="s">
        <v>28</v>
      </c>
      <c r="C4" s="33" t="s">
        <v>29</v>
      </c>
      <c r="D4" s="33" t="s">
        <v>29</v>
      </c>
      <c r="E4" s="33" t="s">
        <v>30</v>
      </c>
      <c r="F4" s="33" t="s">
        <v>30</v>
      </c>
      <c r="G4" s="34" t="s">
        <v>29</v>
      </c>
      <c r="H4" s="34" t="s">
        <v>7</v>
      </c>
      <c r="I4" s="34" t="s">
        <v>7</v>
      </c>
    </row>
    <row r="5">
      <c r="A5" s="33" t="s">
        <v>32</v>
      </c>
      <c r="B5" s="33" t="s">
        <v>28</v>
      </c>
      <c r="C5" s="33" t="s">
        <v>29</v>
      </c>
      <c r="D5" s="33" t="s">
        <v>29</v>
      </c>
      <c r="E5" s="33" t="s">
        <v>33</v>
      </c>
      <c r="F5" s="33" t="s">
        <v>33</v>
      </c>
      <c r="G5" s="34" t="s">
        <v>29</v>
      </c>
      <c r="H5" s="34" t="s">
        <v>29</v>
      </c>
      <c r="I5" s="34" t="s">
        <v>7</v>
      </c>
    </row>
    <row r="6">
      <c r="A6" s="33" t="s">
        <v>34</v>
      </c>
      <c r="B6" s="33" t="s">
        <v>28</v>
      </c>
      <c r="C6" s="33" t="s">
        <v>29</v>
      </c>
      <c r="D6" s="33" t="s">
        <v>7</v>
      </c>
      <c r="E6" s="33" t="s">
        <v>33</v>
      </c>
      <c r="F6" s="33" t="s">
        <v>33</v>
      </c>
      <c r="G6" s="34" t="s">
        <v>29</v>
      </c>
      <c r="H6" s="34" t="s">
        <v>7</v>
      </c>
      <c r="I6" s="34" t="s">
        <v>7</v>
      </c>
    </row>
    <row r="7">
      <c r="A7" s="33" t="s">
        <v>35</v>
      </c>
      <c r="B7" s="33" t="s">
        <v>28</v>
      </c>
      <c r="C7" s="33" t="s">
        <v>29</v>
      </c>
      <c r="D7" s="33" t="s">
        <v>29</v>
      </c>
      <c r="E7" s="33" t="s">
        <v>33</v>
      </c>
      <c r="F7" s="33" t="s">
        <v>30</v>
      </c>
      <c r="G7" s="34" t="s">
        <v>29</v>
      </c>
      <c r="H7" s="34" t="s">
        <v>7</v>
      </c>
      <c r="I7" s="34" t="s">
        <v>7</v>
      </c>
    </row>
    <row r="8">
      <c r="A8" s="33" t="s">
        <v>36</v>
      </c>
      <c r="B8" s="33" t="s">
        <v>28</v>
      </c>
      <c r="C8" s="33" t="s">
        <v>29</v>
      </c>
      <c r="D8" s="33" t="s">
        <v>29</v>
      </c>
      <c r="E8" s="33" t="s">
        <v>30</v>
      </c>
      <c r="F8" s="33" t="s">
        <v>33</v>
      </c>
      <c r="G8" s="34" t="s">
        <v>29</v>
      </c>
      <c r="H8" s="34" t="s">
        <v>7</v>
      </c>
      <c r="I8" s="34" t="s">
        <v>7</v>
      </c>
    </row>
    <row r="9">
      <c r="A9" s="33" t="s">
        <v>37</v>
      </c>
      <c r="B9" s="33" t="s">
        <v>38</v>
      </c>
      <c r="C9" s="33" t="s">
        <v>7</v>
      </c>
      <c r="D9" s="33" t="s">
        <v>29</v>
      </c>
      <c r="E9" s="33" t="s">
        <v>33</v>
      </c>
      <c r="F9" s="33" t="s">
        <v>33</v>
      </c>
      <c r="G9" s="34" t="s">
        <v>7</v>
      </c>
      <c r="H9" s="34" t="s">
        <v>7</v>
      </c>
      <c r="I9" s="34" t="s">
        <v>29</v>
      </c>
    </row>
    <row r="10">
      <c r="A10" s="33" t="s">
        <v>39</v>
      </c>
      <c r="B10" s="33" t="s">
        <v>38</v>
      </c>
      <c r="C10" s="33" t="s">
        <v>29</v>
      </c>
      <c r="D10" s="33" t="s">
        <v>29</v>
      </c>
      <c r="E10" s="33" t="s">
        <v>30</v>
      </c>
      <c r="F10" s="33" t="s">
        <v>30</v>
      </c>
      <c r="G10" s="34" t="s">
        <v>29</v>
      </c>
      <c r="H10" s="34" t="s">
        <v>7</v>
      </c>
      <c r="I10" s="34" t="s">
        <v>7</v>
      </c>
    </row>
    <row r="11">
      <c r="A11" s="33" t="s">
        <v>40</v>
      </c>
      <c r="B11" s="33" t="s">
        <v>38</v>
      </c>
      <c r="C11" s="33" t="s">
        <v>29</v>
      </c>
      <c r="D11" s="33" t="s">
        <v>29</v>
      </c>
      <c r="E11" s="33" t="s">
        <v>33</v>
      </c>
      <c r="F11" s="33" t="s">
        <v>33</v>
      </c>
      <c r="G11" s="34" t="s">
        <v>29</v>
      </c>
      <c r="H11" s="34" t="s">
        <v>29</v>
      </c>
      <c r="I11" s="34" t="s">
        <v>7</v>
      </c>
    </row>
    <row r="12">
      <c r="A12" s="33" t="s">
        <v>41</v>
      </c>
      <c r="B12" s="33" t="s">
        <v>38</v>
      </c>
      <c r="C12" s="33" t="s">
        <v>29</v>
      </c>
      <c r="D12" s="33" t="s">
        <v>7</v>
      </c>
      <c r="E12" s="33" t="s">
        <v>33</v>
      </c>
      <c r="F12" s="33" t="s">
        <v>33</v>
      </c>
      <c r="G12" s="34" t="s">
        <v>29</v>
      </c>
      <c r="H12" s="34" t="s">
        <v>7</v>
      </c>
      <c r="I12" s="34" t="s">
        <v>7</v>
      </c>
    </row>
  </sheetData>
  <mergeCells count="2">
    <mergeCell ref="G1:I1"/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75"/>
    <col customWidth="1" min="2" max="3" width="19.13"/>
    <col customWidth="1" min="4" max="4" width="32.13"/>
    <col customWidth="1" min="5" max="5" width="28.5"/>
    <col customWidth="1" min="6" max="6" width="15.0"/>
    <col customWidth="1" min="7" max="7" width="12.5"/>
    <col customWidth="1" min="8" max="8" width="11.75"/>
    <col customWidth="1" min="9" max="9" width="31.88"/>
    <col customWidth="1" min="10" max="10" width="8.25"/>
    <col customWidth="1" hidden="1" min="11" max="11" width="8.0"/>
    <col customWidth="1" min="12" max="27" width="8.0"/>
  </cols>
  <sheetData>
    <row r="1" ht="12.75" customHeight="1">
      <c r="A1" s="35"/>
      <c r="B1" s="36"/>
      <c r="C1" s="36"/>
      <c r="D1" s="36"/>
      <c r="E1" s="36"/>
      <c r="F1" s="36"/>
      <c r="G1" s="37"/>
      <c r="H1" s="38"/>
      <c r="I1" s="12"/>
      <c r="J1" s="39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ht="15.0" customHeight="1">
      <c r="A2" s="41" t="s">
        <v>42</v>
      </c>
      <c r="B2" s="42"/>
      <c r="C2" s="43" t="s">
        <v>43</v>
      </c>
      <c r="D2" s="8"/>
      <c r="E2" s="8"/>
      <c r="F2" s="8"/>
      <c r="G2" s="44"/>
      <c r="H2" s="12"/>
      <c r="I2" s="12"/>
      <c r="J2" s="39"/>
      <c r="K2" s="40" t="s">
        <v>44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ht="25.5" customHeight="1">
      <c r="A3" s="45" t="s">
        <v>45</v>
      </c>
      <c r="B3" s="10"/>
      <c r="C3" s="46" t="s">
        <v>46</v>
      </c>
      <c r="D3" s="8"/>
      <c r="E3" s="8"/>
      <c r="F3" s="8"/>
      <c r="G3" s="44"/>
      <c r="H3" s="12"/>
      <c r="I3" s="12"/>
      <c r="J3" s="39"/>
      <c r="K3" s="40" t="s">
        <v>47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ht="18.0" customHeight="1">
      <c r="A4" s="41" t="s">
        <v>48</v>
      </c>
      <c r="B4" s="42"/>
      <c r="C4" s="47"/>
      <c r="D4" s="48"/>
      <c r="E4" s="48"/>
      <c r="F4" s="48"/>
      <c r="G4" s="49"/>
      <c r="H4" s="12"/>
      <c r="I4" s="12"/>
      <c r="J4" s="39"/>
      <c r="K4" s="5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ht="19.5" customHeight="1">
      <c r="A5" s="51" t="s">
        <v>44</v>
      </c>
      <c r="B5" s="10"/>
      <c r="C5" s="52" t="s">
        <v>47</v>
      </c>
      <c r="D5" s="52" t="s">
        <v>49</v>
      </c>
      <c r="E5" s="53" t="s">
        <v>50</v>
      </c>
      <c r="F5" s="54" t="s">
        <v>51</v>
      </c>
      <c r="G5" s="44"/>
      <c r="H5" s="55"/>
      <c r="I5" s="55"/>
      <c r="J5" s="56"/>
      <c r="K5" s="40" t="s">
        <v>52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ht="15.0" customHeight="1">
      <c r="A6" s="57">
        <f>COUNTIF(G9:G991,"Pass")</f>
        <v>0</v>
      </c>
      <c r="B6" s="58"/>
      <c r="C6" s="59">
        <f>COUNTIF(G9:G991,"Fail")</f>
        <v>0</v>
      </c>
      <c r="D6" s="59">
        <f>F6-E6-C6-A6</f>
        <v>10</v>
      </c>
      <c r="E6" s="60">
        <f>COUNTIF(G$9:G$991,"N/A")</f>
        <v>0</v>
      </c>
      <c r="F6" s="61">
        <f>COUNTA(A9:A991)</f>
        <v>10</v>
      </c>
      <c r="G6" s="62"/>
      <c r="H6" s="55"/>
      <c r="I6" s="55"/>
      <c r="J6" s="56"/>
      <c r="K6" s="40" t="s">
        <v>50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ht="15.0" customHeight="1">
      <c r="A7" s="40"/>
      <c r="B7" s="40"/>
      <c r="C7" s="40"/>
      <c r="D7" s="40"/>
      <c r="E7" s="63"/>
      <c r="F7" s="63"/>
      <c r="G7" s="55"/>
      <c r="H7" s="55"/>
      <c r="I7" s="55"/>
      <c r="J7" s="56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ht="25.5" customHeight="1">
      <c r="A8" s="64" t="s">
        <v>53</v>
      </c>
      <c r="B8" s="64"/>
      <c r="C8" s="64" t="s">
        <v>54</v>
      </c>
      <c r="D8" s="64" t="s">
        <v>55</v>
      </c>
      <c r="E8" s="64" t="s">
        <v>56</v>
      </c>
      <c r="F8" s="65" t="s">
        <v>57</v>
      </c>
      <c r="G8" s="65" t="s">
        <v>58</v>
      </c>
      <c r="H8" s="65" t="s">
        <v>57</v>
      </c>
      <c r="I8" s="64" t="s">
        <v>10</v>
      </c>
      <c r="J8" s="66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>
      <c r="A9" s="67" t="s">
        <v>59</v>
      </c>
      <c r="B9" s="68" t="s">
        <v>27</v>
      </c>
      <c r="C9" s="68" t="s">
        <v>60</v>
      </c>
      <c r="D9" s="68" t="s">
        <v>61</v>
      </c>
      <c r="E9" s="69" t="s">
        <v>62</v>
      </c>
      <c r="F9" s="70" t="s">
        <v>63</v>
      </c>
      <c r="G9" s="71"/>
      <c r="H9" s="70" t="s">
        <v>63</v>
      </c>
      <c r="I9" s="68" t="s">
        <v>64</v>
      </c>
      <c r="J9" s="7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67" t="s">
        <v>65</v>
      </c>
      <c r="B10" s="68" t="s">
        <v>32</v>
      </c>
      <c r="C10" s="68" t="s">
        <v>66</v>
      </c>
      <c r="D10" s="68" t="s">
        <v>67</v>
      </c>
      <c r="E10" s="69" t="s">
        <v>68</v>
      </c>
      <c r="F10" s="70" t="s">
        <v>69</v>
      </c>
      <c r="G10" s="71"/>
      <c r="H10" s="70" t="s">
        <v>69</v>
      </c>
      <c r="I10" s="68" t="s">
        <v>70</v>
      </c>
      <c r="J10" s="7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67" t="s">
        <v>71</v>
      </c>
      <c r="B11" s="68" t="s">
        <v>37</v>
      </c>
      <c r="C11" s="68" t="s">
        <v>72</v>
      </c>
      <c r="D11" s="68" t="s">
        <v>73</v>
      </c>
      <c r="E11" s="69" t="s">
        <v>74</v>
      </c>
      <c r="F11" s="73"/>
      <c r="G11" s="71"/>
      <c r="H11" s="73"/>
      <c r="I11" s="68" t="s">
        <v>75</v>
      </c>
      <c r="J11" s="7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67" t="s">
        <v>76</v>
      </c>
      <c r="B12" s="68" t="s">
        <v>35</v>
      </c>
      <c r="C12" s="68" t="s">
        <v>77</v>
      </c>
      <c r="D12" s="68" t="s">
        <v>78</v>
      </c>
      <c r="E12" s="69" t="s">
        <v>79</v>
      </c>
      <c r="F12" s="70" t="s">
        <v>80</v>
      </c>
      <c r="G12" s="71"/>
      <c r="H12" s="70" t="s">
        <v>80</v>
      </c>
      <c r="I12" s="68" t="s">
        <v>81</v>
      </c>
      <c r="J12" s="7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67" t="s">
        <v>82</v>
      </c>
      <c r="B13" s="68" t="s">
        <v>36</v>
      </c>
      <c r="C13" s="68" t="s">
        <v>83</v>
      </c>
      <c r="D13" s="68" t="s">
        <v>84</v>
      </c>
      <c r="E13" s="69" t="s">
        <v>79</v>
      </c>
      <c r="F13" s="70" t="s">
        <v>85</v>
      </c>
      <c r="G13" s="71"/>
      <c r="H13" s="70" t="s">
        <v>85</v>
      </c>
      <c r="I13" s="68" t="s">
        <v>86</v>
      </c>
      <c r="J13" s="7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67" t="s">
        <v>87</v>
      </c>
      <c r="B14" s="68" t="s">
        <v>34</v>
      </c>
      <c r="C14" s="68" t="s">
        <v>88</v>
      </c>
      <c r="D14" s="68" t="s">
        <v>89</v>
      </c>
      <c r="E14" s="69" t="s">
        <v>90</v>
      </c>
      <c r="F14" s="70" t="s">
        <v>91</v>
      </c>
      <c r="G14" s="71"/>
      <c r="H14" s="70" t="s">
        <v>91</v>
      </c>
      <c r="I14" s="69" t="s">
        <v>92</v>
      </c>
      <c r="J14" s="7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67" t="s">
        <v>93</v>
      </c>
      <c r="B15" s="68" t="s">
        <v>39</v>
      </c>
      <c r="C15" s="68" t="s">
        <v>94</v>
      </c>
      <c r="D15" s="68" t="s">
        <v>95</v>
      </c>
      <c r="E15" s="69" t="s">
        <v>96</v>
      </c>
      <c r="F15" s="70" t="s">
        <v>97</v>
      </c>
      <c r="G15" s="71"/>
      <c r="H15" s="70" t="s">
        <v>97</v>
      </c>
      <c r="I15" s="69" t="s">
        <v>98</v>
      </c>
      <c r="J15" s="7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67" t="s">
        <v>99</v>
      </c>
      <c r="B16" s="68" t="s">
        <v>40</v>
      </c>
      <c r="C16" s="68" t="s">
        <v>100</v>
      </c>
      <c r="D16" s="68" t="s">
        <v>101</v>
      </c>
      <c r="E16" s="69" t="s">
        <v>102</v>
      </c>
      <c r="F16" s="70" t="s">
        <v>103</v>
      </c>
      <c r="G16" s="71"/>
      <c r="H16" s="70" t="s">
        <v>103</v>
      </c>
      <c r="I16" s="69" t="s">
        <v>104</v>
      </c>
      <c r="J16" s="7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67" t="s">
        <v>105</v>
      </c>
      <c r="B17" s="68" t="s">
        <v>41</v>
      </c>
      <c r="C17" s="68" t="s">
        <v>106</v>
      </c>
      <c r="D17" s="68" t="s">
        <v>107</v>
      </c>
      <c r="E17" s="69" t="s">
        <v>108</v>
      </c>
      <c r="F17" s="70" t="s">
        <v>91</v>
      </c>
      <c r="G17" s="71"/>
      <c r="H17" s="70" t="s">
        <v>91</v>
      </c>
      <c r="I17" s="69" t="s">
        <v>109</v>
      </c>
      <c r="J17" s="7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74" t="s">
        <v>110</v>
      </c>
      <c r="B18" s="75" t="s">
        <v>31</v>
      </c>
      <c r="C18" s="76" t="s">
        <v>111</v>
      </c>
      <c r="D18" s="76" t="s">
        <v>112</v>
      </c>
      <c r="E18" s="76" t="s">
        <v>113</v>
      </c>
      <c r="F18" s="76" t="s">
        <v>114</v>
      </c>
      <c r="G18" s="71"/>
      <c r="H18" s="76" t="s">
        <v>114</v>
      </c>
      <c r="I18" s="76" t="s">
        <v>115</v>
      </c>
      <c r="J18" s="77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</row>
    <row r="19" ht="12.75" customHeight="1">
      <c r="A19" s="67"/>
      <c r="B19" s="79"/>
      <c r="C19" s="79"/>
      <c r="D19" s="79"/>
      <c r="E19" s="79"/>
      <c r="F19" s="79"/>
      <c r="G19" s="79"/>
      <c r="H19" s="79"/>
      <c r="I19" s="79"/>
      <c r="J19" s="8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8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8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8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8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8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8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8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8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8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8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8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8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8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8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8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8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8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8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8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8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8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8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8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8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80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8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8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8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8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8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8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8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8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8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8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8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8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8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8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8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8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8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8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8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8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8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8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8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8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8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8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8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8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8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8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8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8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8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8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8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8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8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8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8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8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8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8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8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8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8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8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8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8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8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80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8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8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8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8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8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8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8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8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8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8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8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8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8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8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8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8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8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8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8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80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8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8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8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8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80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8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8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8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8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8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8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8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8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8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8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8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8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8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8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8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8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8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8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8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8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8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8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8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80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80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80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80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80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80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80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80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80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80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80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80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80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80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80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80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80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80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80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80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80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80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80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80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80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80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80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80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80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80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80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80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80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80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80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80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80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80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80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80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80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80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80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80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80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80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80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80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80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80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80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80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80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80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80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80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80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80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80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80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80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80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80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80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80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80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80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80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80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80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80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0">
    <mergeCell ref="A5:B5"/>
    <mergeCell ref="A4:B4"/>
    <mergeCell ref="C2:G2"/>
    <mergeCell ref="C3:G3"/>
    <mergeCell ref="C4:G4"/>
    <mergeCell ref="F5:G5"/>
    <mergeCell ref="F6:G6"/>
    <mergeCell ref="A2:B2"/>
    <mergeCell ref="A3:B3"/>
    <mergeCell ref="A6:B6"/>
  </mergeCells>
  <dataValidations>
    <dataValidation type="list" allowBlank="1" showInputMessage="1" showErrorMessage="1" prompt=" - " sqref="G1 G7:G138">
      <formula1>$K$2:$K$6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