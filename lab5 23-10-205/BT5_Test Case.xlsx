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 List" sheetId="2" r:id="rId5"/>
    <sheet state="visible" name="Module2" sheetId="3" r:id="rId6"/>
    <sheet state="visible" name="Module1" sheetId="4" r:id="rId7"/>
    <sheet state="visible" name="Test Report" sheetId="5" r:id="rId8"/>
  </sheets>
  <definedNames>
    <definedName name="ACTION">#REF!</definedName>
  </definedNames>
  <calcPr/>
  <extLst>
    <ext uri="GoogleSheetsCustomDataVersion2">
      <go:sheetsCustomData xmlns:go="http://customooxmlschemas.google.com/" r:id="rId9" roundtripDataChecksum="ywsb//V18rQY3bH5N18hPB4WucERBqYv6u5rX1Hlty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======
ID#AAABtFltIak
    (2025-10-22 11:08:39)
*A: Add
  M: Modify
  D: Delete</t>
      </text>
    </comment>
  </commentList>
  <extLst>
    <ext uri="GoogleSheetsCustomDataVersion2">
      <go:sheetsCustomData xmlns:go="http://customooxmlschemas.google.com/" r:id="rId1" roundtripDataSignature="AMtx7miN7FR/beTvIbBmOYncYFzm7j1m0g=="/>
    </ext>
  </extLst>
</comments>
</file>

<file path=xl/sharedStrings.xml><?xml version="1.0" encoding="utf-8"?>
<sst xmlns="http://schemas.openxmlformats.org/spreadsheetml/2006/main" count="187" uniqueCount="136">
  <si>
    <t xml:space="preserve">   </t>
  </si>
  <si>
    <t>TEST CASE</t>
  </si>
  <si>
    <t>Project Name</t>
  </si>
  <si>
    <t>Counter Sales System</t>
  </si>
  <si>
    <t>Creator</t>
  </si>
  <si>
    <t>Tran Vinh Huy, Tran Bui Ty Ty</t>
  </si>
  <si>
    <t>Project Code</t>
  </si>
  <si>
    <t>CSS</t>
  </si>
  <si>
    <t>Reviewer/Approver</t>
  </si>
  <si>
    <t>Do Minh Quan, Le Thi My Huong</t>
  </si>
  <si>
    <t>Document Code</t>
  </si>
  <si>
    <t>Issue Date</t>
  </si>
  <si>
    <t>22/10/2025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</si>
  <si>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</si>
  <si>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</si>
  <si>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</si>
  <si>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</si>
  <si>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</si>
  <si>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</si>
  <si>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</si>
  <si>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v1</t>
  </si>
  <si>
    <t>Tạo mới test case Product Number &amp; Profit Margin</t>
  </si>
  <si>
    <t>A</t>
  </si>
  <si>
    <t>Thêm 12 test case kiểm thử nhập 
mã sản phẩm và lợi nhuận biên</t>
  </si>
  <si>
    <t>Class_exercise_TH.pdf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</si>
  <si>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</si>
  <si>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</si>
  <si>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</si>
  <si>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</si>
  <si>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</si>
  <si>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</si>
  <si>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</si>
  <si>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</si>
  <si>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Product Number Validation</t>
  </si>
  <si>
    <t>Module 1</t>
  </si>
  <si>
    <t>Check the format, length, and character validity of the encrypted product</t>
  </si>
  <si>
    <t>The system runs, with an interface to enter the Product Number.</t>
  </si>
  <si>
    <t>Profit Margin Calculation</t>
  </si>
  <si>
    <t>Module 2</t>
  </si>
  <si>
    <t xml:space="preserve">
Check calculation of selling price and profit (≥30%)</t>
  </si>
  <si>
    <t>Products with WAC available in database</t>
  </si>
  <si>
    <t>Module Code</t>
  </si>
  <si>
    <t>Module2</t>
  </si>
  <si>
    <t>Pass</t>
  </si>
  <si>
    <t>Test requirement</t>
  </si>
  <si>
    <t>&lt;Brief description about requirements which are tested in this sheet&gt;</t>
  </si>
  <si>
    <t>Fail</t>
  </si>
  <si>
    <t>Tester</t>
  </si>
  <si>
    <t>Untested</t>
  </si>
  <si>
    <t>N/A</t>
  </si>
  <si>
    <t>Number of Test cases</t>
  </si>
  <si>
    <t>Untesed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</si>
  <si>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</si>
  <si>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</si>
  <si>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</si>
  <si>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</si>
  <si>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</si>
  <si>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</si>
  <si>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</si>
  <si>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Note</t>
  </si>
  <si>
    <t>TC_PM_01</t>
  </si>
  <si>
    <t>Calculate profit margin when selling price ≥ 30% above WAC</t>
  </si>
  <si>
    <t>1. Open Price Override.
2. Enter WAC = 8.25, Selling Price = 10.75.
3. Click OK.</t>
  </si>
  <si>
    <t>Profit Margin = ((10.75−8.25)/8.25)×100 = 30.3%.
System accepts transaction.</t>
  </si>
  <si>
    <t>Meets minimum 30% rule.</t>
  </si>
  <si>
    <t>TC_PM_02</t>
  </si>
  <si>
    <t>Reject sale when profit margin &lt; 30%</t>
  </si>
  <si>
    <t>1. Enter WAC = 8.25, Selling Price = 9.50.
2. Click OK.</t>
  </si>
  <si>
    <t>Profit Margin = ((9.50−8.25)/8.25)×100 = 15.1%.
System shows warning “Profit margin below 30%” and blocks sale.</t>
  </si>
  <si>
    <t>Business rule enforcement.</t>
  </si>
  <si>
    <t>TC_PM_03</t>
  </si>
  <si>
    <t>Calculate new price from entered profit margin (≥30%)</t>
  </si>
  <si>
    <t>1. Select “Profit Margin %”.
2. Enter WAC = 8.25, Profit Margin = 40%.
3. Click OK.</t>
  </si>
  <si>
    <t>New Price = 8.25 × 1.4 = 11.55.
Transaction accepted.</t>
  </si>
  <si>
    <t>Forward calculation.</t>
  </si>
  <si>
    <t>TC_PM_04</t>
  </si>
  <si>
    <t>Reject invalid profit margin input (&lt;30%)</t>
  </si>
  <si>
    <t>1. Select “Profit Margin %”.
2. Enter 20%.
3. Click OK.</t>
  </si>
  <si>
    <t xml:space="preserve">
New Price = 9.90, but system blocks sale: “Profit margin must be ≥30%”.</t>
  </si>
  <si>
    <t>Validation rule.</t>
  </si>
  <si>
    <t>TC_PM_05</t>
  </si>
  <si>
    <t>Verify rounding at threshold value</t>
  </si>
  <si>
    <t>1. Enter WAC = 8.25, Selling Price = 10.72.
2. Click OK.</t>
  </si>
  <si>
    <t>Computed margin = 29.94% → Rejected (since &lt;30%)</t>
  </si>
  <si>
    <t>Edge case precision test.</t>
  </si>
  <si>
    <t xml:space="preserve">Module1 </t>
  </si>
  <si>
    <t>Test data</t>
  </si>
  <si>
    <t>PN-001</t>
  </si>
  <si>
    <t>Product Number field is masked to accept 10 digits only.</t>
  </si>
  <si>
    <t xml:space="preserve">1. Enter product number in the field: [0123456789] </t>
  </si>
  <si>
    <t>Export the product that matches the specified product number.</t>
  </si>
  <si>
    <t>TestData01</t>
  </si>
  <si>
    <t>Show product information</t>
  </si>
  <si>
    <t>PN-002</t>
  </si>
  <si>
    <t>Product Number field is more than 10 digits.</t>
  </si>
  <si>
    <t xml:space="preserve">1. Enter product number in the field: [01234567890] </t>
  </si>
  <si>
    <t>Export "Product number is more than 10 digits"</t>
  </si>
  <si>
    <t>TestData02</t>
  </si>
  <si>
    <t>Show message:  "fail in format - Product number is more than 10 digits"</t>
  </si>
  <si>
    <t>PN-003</t>
  </si>
  <si>
    <t>Product Number field is less than 10 digits.</t>
  </si>
  <si>
    <t xml:space="preserve">1. Enter product number in the field: [0123456] </t>
  </si>
  <si>
    <t>Export "Product number is less than 10 digits"</t>
  </si>
  <si>
    <t>TestData03</t>
  </si>
  <si>
    <t>Show message:  "fail in format - Product number is less than 10 digits"</t>
  </si>
  <si>
    <t>PN-004</t>
  </si>
  <si>
    <t>Product Number has character in the field</t>
  </si>
  <si>
    <t xml:space="preserve">1. Enter product number in the field: [012a! 67890] </t>
  </si>
  <si>
    <t>Export "Product number has character"</t>
  </si>
  <si>
    <t>TestData04</t>
  </si>
  <si>
    <t>Show message:  "fail in format - Product number include non-number"</t>
  </si>
  <si>
    <t>PN-005</t>
  </si>
  <si>
    <t>Product number may have leading zeros.</t>
  </si>
  <si>
    <t>TestData05</t>
  </si>
  <si>
    <t>PN-006</t>
  </si>
  <si>
    <t>The product number is not found</t>
  </si>
  <si>
    <t>Show message ‘Item not found’ or similar message should be
displayed to the user.</t>
  </si>
  <si>
    <t>TestData06</t>
  </si>
  <si>
    <t>Show message ‘Item not found’ when product number not found</t>
  </si>
  <si>
    <t>PN-007</t>
  </si>
  <si>
    <t>If a product is taxable</t>
  </si>
  <si>
    <t>Product Number will be marked with an asterisk. [*0123456789]</t>
  </si>
  <si>
    <t>TestData07</t>
  </si>
  <si>
    <t>Product Number will be marked with an asterisk.</t>
  </si>
  <si>
    <t>TEST REPORT</t>
  </si>
  <si>
    <t>&lt;Project Name&gt;</t>
  </si>
  <si>
    <t>&lt;Project Code&gt;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</si>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</sst>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mm\-yy"/>
  </numFmts>
  <fonts count="22">
    <font>
      <sz val="11.0"/>
      <color rgb="FF000000"/>
      <name val="MS PGothic"/>
      <scheme val="minor"/>
    </font>
    <font>
      <sz val="10.0"/>
      <color theme="1"/>
      <name val="Tahoma"/>
    </font>
    <font>
      <b/>
      <sz val="22.0"/>
      <color rgb="FFFF0000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b/>
      <sz val="10.0"/>
      <color theme="1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sz val="10.0"/>
      <color rgb="FF000000"/>
      <name val="Tahoma"/>
    </font>
    <font>
      <sz val="10.0"/>
      <color rgb="FFFF0000"/>
      <name val="Tahoma"/>
    </font>
    <font>
      <sz val="11.0"/>
      <color rgb="FF000000"/>
      <name val="Arial"/>
    </font>
    <font>
      <i/>
      <sz val="11.0"/>
      <color rgb="FF000000"/>
      <name val="Arial"/>
    </font>
    <font>
      <sz val="10.0"/>
      <color theme="1"/>
      <name val="Arial"/>
    </font>
    <font>
      <sz val="10.0"/>
      <color rgb="FFFFFFFF"/>
      <name val="Tahoma"/>
    </font>
    <font>
      <b/>
      <sz val="10.0"/>
      <color rgb="FF0000FF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</fills>
  <borders count="52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/>
      <top/>
      <bottom/>
    </border>
    <border>
      <left/>
      <right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/>
      <bottom/>
    </border>
    <border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3" fillId="0" fontId="5" numFmtId="0" xfId="0" applyBorder="1" applyFont="1"/>
    <xf borderId="4" fillId="0" fontId="5" numFmtId="0" xfId="0" applyBorder="1" applyFont="1"/>
    <xf borderId="0" fillId="0" fontId="1" numFmtId="0" xfId="0" applyAlignment="1" applyFont="1">
      <alignment horizontal="center" shrinkToFit="0" vertical="center" wrapText="0"/>
    </xf>
    <xf borderId="1" fillId="2" fontId="6" numFmtId="0" xfId="0" applyAlignment="1" applyBorder="1" applyFon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0"/>
    </xf>
    <xf borderId="5" fillId="2" fontId="6" numFmtId="0" xfId="0" applyAlignment="1" applyBorder="1" applyFont="1">
      <alignment horizontal="left" shrinkToFit="0" vertical="bottom" wrapText="0"/>
    </xf>
    <xf borderId="2" fillId="0" fontId="7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6" fillId="2" fontId="6" numFmtId="0" xfId="0" applyAlignment="1" applyBorder="1" applyFont="1">
      <alignment horizontal="left" shrinkToFit="0" vertical="center" wrapText="0"/>
    </xf>
    <xf borderId="7" fillId="0" fontId="7" numFmtId="0" xfId="0" applyAlignment="1" applyBorder="1" applyFont="1">
      <alignment horizontal="left" shrinkToFit="0" vertical="center" wrapText="0"/>
    </xf>
    <xf borderId="8" fillId="0" fontId="5" numFmtId="0" xfId="0" applyBorder="1" applyFont="1"/>
    <xf borderId="9" fillId="0" fontId="5" numFmtId="0" xfId="0" applyBorder="1" applyFont="1"/>
    <xf borderId="4" fillId="0" fontId="7" numFmtId="0" xfId="0" applyAlignment="1" applyBorder="1" applyFont="1">
      <alignment horizontal="left" readingOrder="0" shrinkToFit="0" vertical="bottom" wrapText="0"/>
    </xf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4" fillId="0" fontId="7" numFmtId="0" xfId="0" applyAlignment="1" applyBorder="1" applyFont="1">
      <alignment horizontal="left" shrinkToFit="0" vertical="bottom" wrapText="0"/>
    </xf>
    <xf borderId="1" fillId="2" fontId="6" numFmtId="0" xfId="0" applyAlignment="1" applyBorder="1" applyFont="1">
      <alignment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center" wrapText="0"/>
    </xf>
    <xf borderId="14" fillId="3" fontId="8" numFmtId="164" xfId="0" applyAlignment="1" applyBorder="1" applyFill="1" applyFont="1" applyNumberFormat="1">
      <alignment horizontal="center" shrinkToFit="0" vertical="center" wrapText="0"/>
    </xf>
    <xf borderId="15" fillId="3" fontId="8" numFmtId="0" xfId="0" applyAlignment="1" applyBorder="1" applyFont="1">
      <alignment horizontal="center" shrinkToFit="0" vertical="center" wrapText="0"/>
    </xf>
    <xf borderId="16" fillId="3" fontId="8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top" wrapText="0"/>
    </xf>
    <xf borderId="17" fillId="0" fontId="7" numFmtId="0" xfId="0" applyAlignment="1" applyBorder="1" applyFont="1">
      <alignment readingOrder="0" shrinkToFit="0" vertical="top" wrapText="1"/>
    </xf>
    <xf borderId="18" fillId="0" fontId="1" numFmtId="49" xfId="0" applyAlignment="1" applyBorder="1" applyFont="1" applyNumberFormat="1">
      <alignment readingOrder="0" shrinkToFit="0" vertical="top" wrapText="0"/>
    </xf>
    <xf borderId="18" fillId="0" fontId="1" numFmtId="0" xfId="0" applyAlignment="1" applyBorder="1" applyFont="1">
      <alignment readingOrder="0" shrinkToFit="0" vertical="top" wrapText="0"/>
    </xf>
    <xf borderId="19" fillId="0" fontId="7" numFmtId="0" xfId="0" applyAlignment="1" applyBorder="1" applyFont="1">
      <alignment readingOrder="0" shrinkToFit="0" vertical="top" wrapText="1"/>
    </xf>
    <xf borderId="17" fillId="0" fontId="1" numFmtId="164" xfId="0" applyAlignment="1" applyBorder="1" applyFont="1" applyNumberFormat="1">
      <alignment shrinkToFit="0" vertical="top" wrapText="0"/>
    </xf>
    <xf borderId="18" fillId="0" fontId="1" numFmtId="49" xfId="0" applyAlignment="1" applyBorder="1" applyFont="1" applyNumberFormat="1">
      <alignment shrinkToFit="0" vertical="top" wrapText="0"/>
    </xf>
    <xf borderId="18" fillId="0" fontId="1" numFmtId="0" xfId="0" applyAlignment="1" applyBorder="1" applyFont="1">
      <alignment shrinkToFit="0" vertical="top" wrapText="0"/>
    </xf>
    <xf borderId="19" fillId="0" fontId="1" numFmtId="0" xfId="0" applyAlignment="1" applyBorder="1" applyFont="1">
      <alignment shrinkToFit="0" vertical="top" wrapText="0"/>
    </xf>
    <xf borderId="20" fillId="0" fontId="1" numFmtId="164" xfId="0" applyAlignment="1" applyBorder="1" applyFont="1" applyNumberFormat="1">
      <alignment shrinkToFit="0" vertical="top" wrapText="0"/>
    </xf>
    <xf borderId="21" fillId="0" fontId="1" numFmtId="49" xfId="0" applyAlignment="1" applyBorder="1" applyFont="1" applyNumberFormat="1">
      <alignment shrinkToFit="0" vertical="top" wrapText="0"/>
    </xf>
    <xf borderId="21" fillId="0" fontId="1" numFmtId="0" xfId="0" applyAlignment="1" applyBorder="1" applyFont="1">
      <alignment shrinkToFit="0" vertical="top" wrapText="0"/>
    </xf>
    <xf borderId="22" fillId="0" fontId="1" numFmtId="0" xfId="0" applyAlignment="1" applyBorder="1" applyFont="1">
      <alignment shrinkToFit="0" vertical="top" wrapText="0"/>
    </xf>
    <xf borderId="1" fillId="2" fontId="1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1" fillId="2" fontId="4" numFmtId="0" xfId="0" applyAlignment="1" applyBorder="1" applyFont="1">
      <alignment horizontal="left" shrinkToFit="0" vertical="bottom" wrapText="0"/>
    </xf>
    <xf borderId="1" fillId="2" fontId="9" numFmtId="0" xfId="0" applyAlignment="1" applyBorder="1" applyFont="1">
      <alignment horizontal="left" shrinkToFit="0" vertical="bottom" wrapText="0"/>
    </xf>
    <xf borderId="1" fillId="2" fontId="10" numFmtId="0" xfId="0" applyAlignment="1" applyBorder="1" applyFont="1">
      <alignment horizontal="left" shrinkToFit="0" vertical="bottom" wrapText="0"/>
    </xf>
    <xf borderId="2" fillId="2" fontId="6" numFmtId="1" xfId="0" applyAlignment="1" applyBorder="1" applyFont="1" applyNumberFormat="1">
      <alignment shrinkToFit="0" vertical="bottom" wrapText="0"/>
    </xf>
    <xf borderId="2" fillId="2" fontId="7" numFmtId="0" xfId="0" applyAlignment="1" applyBorder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1"/>
    </xf>
    <xf borderId="2" fillId="2" fontId="6" numFmtId="1" xfId="0" applyAlignment="1" applyBorder="1" applyFont="1" applyNumberFormat="1">
      <alignment shrinkToFit="0" vertical="center" wrapText="1"/>
    </xf>
    <xf borderId="2" fillId="2" fontId="7" numFmtId="0" xfId="0" applyAlignment="1" applyBorder="1" applyFont="1">
      <alignment shrinkToFit="0" vertical="top" wrapText="1"/>
    </xf>
    <xf borderId="1" fillId="2" fontId="6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shrinkToFit="0" vertical="center" wrapText="0"/>
    </xf>
    <xf borderId="1" fillId="2" fontId="1" numFmtId="1" xfId="0" applyAlignment="1" applyBorder="1" applyFont="1" applyNumberFormat="1">
      <alignment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1" fillId="2" fontId="11" numFmtId="0" xfId="0" applyAlignment="1" applyBorder="1" applyFont="1">
      <alignment horizontal="center" shrinkToFit="0" vertical="bottom" wrapText="0"/>
    </xf>
    <xf borderId="14" fillId="4" fontId="8" numFmtId="1" xfId="0" applyAlignment="1" applyBorder="1" applyFill="1" applyFont="1" applyNumberFormat="1">
      <alignment horizontal="center" shrinkToFit="0" vertical="center" wrapText="0"/>
    </xf>
    <xf borderId="15" fillId="4" fontId="8" numFmtId="0" xfId="0" applyAlignment="1" applyBorder="1" applyFont="1">
      <alignment horizontal="center" shrinkToFit="0" vertical="center" wrapText="0"/>
    </xf>
    <xf borderId="23" fillId="4" fontId="8" numFmtId="0" xfId="0" applyAlignment="1" applyBorder="1" applyFont="1">
      <alignment horizontal="center" shrinkToFit="0" vertical="center" wrapText="0"/>
    </xf>
    <xf borderId="16" fillId="4" fontId="8" numFmtId="0" xfId="0" applyAlignment="1" applyBorder="1" applyFont="1">
      <alignment horizontal="center" shrinkToFit="0" vertical="center" wrapText="0"/>
    </xf>
    <xf borderId="17" fillId="2" fontId="1" numFmtId="1" xfId="0" applyAlignment="1" applyBorder="1" applyFont="1" applyNumberFormat="1">
      <alignment readingOrder="0" shrinkToFit="0" vertical="center" wrapText="0"/>
    </xf>
    <xf borderId="18" fillId="2" fontId="1" numFmtId="49" xfId="0" applyAlignment="1" applyBorder="1" applyFont="1" applyNumberFormat="1">
      <alignment horizontal="left" readingOrder="0" shrinkToFit="0" vertical="center" wrapText="0"/>
    </xf>
    <xf borderId="18" fillId="2" fontId="12" numFmtId="0" xfId="0" applyAlignment="1" applyBorder="1" applyFont="1">
      <alignment horizontal="left" readingOrder="0" shrinkToFit="0" vertical="center" wrapText="0"/>
    </xf>
    <xf borderId="19" fillId="2" fontId="1" numFmtId="0" xfId="0" applyAlignment="1" applyBorder="1" applyFont="1">
      <alignment horizontal="left" readingOrder="0" shrinkToFit="0" vertical="center" wrapText="0"/>
    </xf>
    <xf borderId="18" fillId="2" fontId="13" numFmtId="0" xfId="0" applyAlignment="1" applyBorder="1" applyFont="1">
      <alignment horizontal="left" readingOrder="0" shrinkToFit="0" vertical="top" wrapText="0"/>
    </xf>
    <xf borderId="17" fillId="2" fontId="1" numFmtId="1" xfId="0" applyAlignment="1" applyBorder="1" applyFont="1" applyNumberFormat="1">
      <alignment shrinkToFit="0" vertical="center" wrapText="0"/>
    </xf>
    <xf borderId="18" fillId="2" fontId="1" numFmtId="49" xfId="0" applyAlignment="1" applyBorder="1" applyFont="1" applyNumberFormat="1">
      <alignment horizontal="left" shrinkToFit="0" vertical="center" wrapText="0"/>
    </xf>
    <xf borderId="18" fillId="2" fontId="14" numFmtId="0" xfId="0" applyAlignment="1" applyBorder="1" applyFont="1">
      <alignment horizontal="left" shrinkToFit="0" vertical="center" wrapText="0"/>
    </xf>
    <xf borderId="19" fillId="2" fontId="1" numFmtId="0" xfId="0" applyAlignment="1" applyBorder="1" applyFont="1">
      <alignment horizontal="left" shrinkToFit="0" vertical="center" wrapText="0"/>
    </xf>
    <xf borderId="18" fillId="2" fontId="1" numFmtId="0" xfId="0" applyAlignment="1" applyBorder="1" applyFont="1">
      <alignment horizontal="left" shrinkToFit="0" vertical="center" wrapText="0"/>
    </xf>
    <xf borderId="20" fillId="2" fontId="1" numFmtId="1" xfId="0" applyAlignment="1" applyBorder="1" applyFont="1" applyNumberFormat="1">
      <alignment shrinkToFit="0" vertical="center" wrapText="0"/>
    </xf>
    <xf borderId="21" fillId="2" fontId="1" numFmtId="49" xfId="0" applyAlignment="1" applyBorder="1" applyFont="1" applyNumberFormat="1">
      <alignment horizontal="left" shrinkToFit="0" vertical="center" wrapText="0"/>
    </xf>
    <xf borderId="21" fillId="2" fontId="1" numFmtId="0" xfId="0" applyAlignment="1" applyBorder="1" applyFont="1">
      <alignment horizontal="left" shrinkToFit="0" vertical="center" wrapText="0"/>
    </xf>
    <xf borderId="22" fillId="2" fontId="1" numFmtId="0" xfId="0" applyAlignment="1" applyBorder="1" applyFont="1">
      <alignment horizontal="left" shrinkToFit="0" vertical="center" wrapText="0"/>
    </xf>
    <xf borderId="24" fillId="2" fontId="15" numFmtId="0" xfId="0" applyAlignment="1" applyBorder="1" applyFont="1">
      <alignment shrinkToFit="0" vertical="bottom" wrapText="0"/>
    </xf>
    <xf borderId="24" fillId="2" fontId="15" numFmtId="0" xfId="0" applyAlignment="1" applyBorder="1" applyFont="1">
      <alignment shrinkToFit="0" vertical="bottom" wrapText="1"/>
    </xf>
    <xf borderId="24" fillId="2" fontId="1" numFmtId="0" xfId="0" applyAlignment="1" applyBorder="1" applyFont="1">
      <alignment shrinkToFit="0" vertical="bottom" wrapText="1"/>
    </xf>
    <xf borderId="1" fillId="2" fontId="11" numFmtId="0" xfId="0" applyAlignment="1" applyBorder="1" applyFont="1">
      <alignment shrinkToFit="0" vertical="bottom" wrapText="1"/>
    </xf>
    <xf borderId="1" fillId="2" fontId="16" numFmtId="0" xfId="0" applyAlignment="1" applyBorder="1" applyFont="1">
      <alignment shrinkToFit="0" vertical="bottom" wrapText="1"/>
    </xf>
    <xf borderId="1" fillId="2" fontId="15" numFmtId="0" xfId="0" applyAlignment="1" applyBorder="1" applyFont="1">
      <alignment shrinkToFit="0" vertical="bottom" wrapText="0"/>
    </xf>
    <xf borderId="25" fillId="2" fontId="11" numFmtId="0" xfId="0" applyAlignment="1" applyBorder="1" applyFont="1">
      <alignment horizontal="left" shrinkToFit="0" vertical="bottom" wrapText="1"/>
    </xf>
    <xf borderId="2" fillId="2" fontId="7" numFmtId="0" xfId="0" applyAlignment="1" applyBorder="1" applyFont="1">
      <alignment horizontal="left" shrinkToFit="0" vertical="bottom" wrapText="1"/>
    </xf>
    <xf borderId="26" fillId="0" fontId="5" numFmtId="0" xfId="0" applyBorder="1" applyFont="1"/>
    <xf borderId="27" fillId="2" fontId="11" numFmtId="0" xfId="0" applyAlignment="1" applyBorder="1" applyFont="1">
      <alignment horizontal="left" shrinkToFit="0" vertical="bottom" wrapText="1"/>
    </xf>
    <xf borderId="28" fillId="2" fontId="7" numFmtId="0" xfId="0" applyAlignment="1" applyBorder="1" applyFont="1">
      <alignment horizontal="left" shrinkToFit="0" vertical="bottom" wrapText="1"/>
    </xf>
    <xf borderId="29" fillId="0" fontId="5" numFmtId="0" xfId="0" applyBorder="1" applyFont="1"/>
    <xf borderId="30" fillId="0" fontId="5" numFmtId="0" xfId="0" applyBorder="1" applyFont="1"/>
    <xf borderId="1" fillId="2" fontId="9" numFmtId="0" xfId="0" applyAlignment="1" applyBorder="1" applyFont="1">
      <alignment shrinkToFit="0" vertical="bottom" wrapText="0"/>
    </xf>
    <xf borderId="27" fillId="2" fontId="9" numFmtId="0" xfId="0" applyAlignment="1" applyBorder="1" applyFont="1">
      <alignment horizontal="center" shrinkToFit="0" vertical="center" wrapText="0"/>
    </xf>
    <xf borderId="5" fillId="2" fontId="9" numFmtId="0" xfId="0" applyAlignment="1" applyBorder="1" applyFont="1">
      <alignment horizontal="center" shrinkToFit="0" vertical="center" wrapText="1"/>
    </xf>
    <xf borderId="31" fillId="2" fontId="9" numFmtId="0" xfId="0" applyAlignment="1" applyBorder="1" applyFont="1">
      <alignment horizontal="center" shrinkToFit="0" vertical="center" wrapText="1"/>
    </xf>
    <xf borderId="2" fillId="2" fontId="9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bottom" wrapText="1"/>
    </xf>
    <xf borderId="1" fillId="2" fontId="16" numFmtId="0" xfId="0" applyAlignment="1" applyBorder="1" applyFont="1">
      <alignment horizontal="center" shrinkToFit="0" vertical="bottom" wrapText="1"/>
    </xf>
    <xf borderId="32" fillId="2" fontId="15" numFmtId="0" xfId="0" applyAlignment="1" applyBorder="1" applyFont="1">
      <alignment horizontal="center" shrinkToFit="0" vertical="center" wrapText="0"/>
    </xf>
    <xf borderId="33" fillId="2" fontId="15" numFmtId="0" xfId="0" applyAlignment="1" applyBorder="1" applyFont="1">
      <alignment horizontal="center" shrinkToFit="0" vertical="center" wrapText="0"/>
    </xf>
    <xf borderId="34" fillId="2" fontId="15" numFmtId="0" xfId="0" applyAlignment="1" applyBorder="1" applyFont="1">
      <alignment horizontal="center" shrinkToFit="0" vertical="center" wrapText="0"/>
    </xf>
    <xf borderId="35" fillId="2" fontId="15" numFmtId="0" xfId="0" applyAlignment="1" applyBorder="1" applyFont="1">
      <alignment horizontal="center" shrinkToFit="0" vertical="center" wrapText="1"/>
    </xf>
    <xf borderId="36" fillId="0" fontId="5" numFmtId="0" xfId="0" applyBorder="1" applyFont="1"/>
    <xf borderId="1" fillId="2" fontId="15" numFmtId="0" xfId="0" applyAlignment="1" applyBorder="1" applyFont="1">
      <alignment horizontal="center" shrinkToFit="0" vertical="bottom" wrapText="1"/>
    </xf>
    <xf borderId="5" fillId="3" fontId="8" numFmtId="0" xfId="0" applyAlignment="1" applyBorder="1" applyFont="1">
      <alignment horizontal="center" shrinkToFit="0" vertical="center" wrapText="1"/>
    </xf>
    <xf borderId="6" fillId="3" fontId="8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readingOrder="0" vertical="center"/>
    </xf>
    <xf borderId="5" fillId="2" fontId="18" numFmtId="0" xfId="0" applyAlignment="1" applyBorder="1" applyFont="1">
      <alignment readingOrder="0" shrinkToFit="0" vertical="center" wrapText="1"/>
    </xf>
    <xf borderId="5" fillId="2" fontId="18" numFmtId="0" xfId="0" applyAlignment="1" applyBorder="1" applyFont="1">
      <alignment horizontal="left" readingOrder="0" shrinkToFit="0" vertical="center" wrapText="1"/>
    </xf>
    <xf borderId="5" fillId="2" fontId="17" numFmtId="0" xfId="0" applyAlignment="1" applyBorder="1" applyFont="1">
      <alignment shrinkToFit="0" vertical="center" wrapText="1"/>
    </xf>
    <xf borderId="5" fillId="2" fontId="17" numFmtId="0" xfId="0" applyAlignment="1" applyBorder="1" applyFont="1">
      <alignment readingOrder="0" shrinkToFit="0" vertical="center" wrapText="1"/>
    </xf>
    <xf borderId="37" fillId="2" fontId="16" numFmtId="0" xfId="0" applyAlignment="1" applyBorder="1" applyFont="1">
      <alignment shrinkToFit="0" vertical="top" wrapText="1"/>
    </xf>
    <xf borderId="1" fillId="2" fontId="15" numFmtId="0" xfId="0" applyAlignment="1" applyBorder="1" applyFont="1">
      <alignment shrinkToFit="0" vertical="top" wrapText="0"/>
    </xf>
    <xf borderId="5" fillId="2" fontId="17" numFmtId="0" xfId="0" applyAlignment="1" applyBorder="1" applyFont="1">
      <alignment horizontal="left" readingOrder="0" shrinkToFit="0" vertical="center" wrapText="1"/>
    </xf>
    <xf borderId="5" fillId="2" fontId="17" numFmtId="0" xfId="0" applyAlignment="1" applyBorder="1" applyFont="1">
      <alignment shrinkToFit="0" vertical="center" wrapText="0"/>
    </xf>
    <xf borderId="37" fillId="2" fontId="16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center" wrapText="0"/>
    </xf>
    <xf borderId="5" fillId="2" fontId="1" numFmtId="0" xfId="0" applyAlignment="1" applyBorder="1" applyFont="1">
      <alignment readingOrder="0" shrinkToFit="0" vertical="center" wrapText="1"/>
    </xf>
    <xf borderId="5" fillId="0" fontId="11" numFmtId="0" xfId="0" applyAlignment="1" applyBorder="1" applyFont="1">
      <alignment horizontal="left" shrinkToFit="0" vertical="center" wrapText="0"/>
    </xf>
    <xf borderId="5" fillId="2" fontId="1" numFmtId="0" xfId="0" applyAlignment="1" applyBorder="1" applyFont="1">
      <alignment shrinkToFit="0" vertical="center" wrapText="0"/>
    </xf>
    <xf borderId="37" fillId="2" fontId="10" numFmtId="0" xfId="0" applyAlignment="1" applyBorder="1" applyFont="1">
      <alignment horizontal="left" shrinkToFit="0" vertical="center" wrapText="0"/>
    </xf>
    <xf borderId="5" fillId="2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shrinkToFit="0" vertical="top" wrapText="1"/>
    </xf>
    <xf borderId="38" fillId="2" fontId="1" numFmtId="0" xfId="0" applyAlignment="1" applyBorder="1" applyFont="1">
      <alignment shrinkToFit="0" vertical="bottom" wrapText="0"/>
    </xf>
    <xf borderId="1" fillId="2" fontId="16" numFmtId="0" xfId="0" applyAlignment="1" applyBorder="1" applyFont="1">
      <alignment shrinkToFit="0" vertical="bottom" wrapText="0"/>
    </xf>
    <xf borderId="39" fillId="2" fontId="15" numFmtId="0" xfId="0" applyAlignment="1" applyBorder="1" applyFont="1">
      <alignment horizontal="center" shrinkToFit="0" vertical="center" wrapText="0"/>
    </xf>
    <xf borderId="40" fillId="3" fontId="8" numFmtId="0" xfId="0" applyAlignment="1" applyBorder="1" applyFont="1">
      <alignment horizontal="center" shrinkToFit="0" vertical="center" wrapText="1"/>
    </xf>
    <xf borderId="5" fillId="2" fontId="19" numFmtId="0" xfId="0" applyAlignment="1" applyBorder="1" applyFont="1">
      <alignment shrinkToFit="0" vertical="center" wrapText="1"/>
    </xf>
    <xf borderId="5" fillId="2" fontId="15" numFmtId="0" xfId="0" applyAlignment="1" applyBorder="1" applyFont="1">
      <alignment horizontal="left" readingOrder="0" shrinkToFit="0" vertical="top" wrapText="1"/>
    </xf>
    <xf borderId="5" fillId="2" fontId="19" numFmtId="0" xfId="0" applyAlignment="1" applyBorder="1" applyFont="1">
      <alignment horizontal="left" shrinkToFit="0" vertical="center" wrapText="1"/>
    </xf>
    <xf borderId="5" fillId="2" fontId="19" numFmtId="0" xfId="0" applyAlignment="1" applyBorder="1" applyFont="1">
      <alignment readingOrder="0" shrinkToFit="0" vertical="center" wrapText="1"/>
    </xf>
    <xf borderId="1" fillId="2" fontId="16" numFmtId="0" xfId="0" applyAlignment="1" applyBorder="1" applyFont="1">
      <alignment shrinkToFit="0" vertical="top" wrapText="1"/>
    </xf>
    <xf borderId="5" fillId="2" fontId="19" numFmtId="0" xfId="0" applyAlignment="1" applyBorder="1" applyFont="1">
      <alignment horizontal="left" readingOrder="0" shrinkToFit="0" vertical="center" wrapText="1"/>
    </xf>
    <xf borderId="41" fillId="2" fontId="4" numFmtId="0" xfId="0" applyAlignment="1" applyBorder="1" applyFont="1">
      <alignment horizontal="center" shrinkToFit="0" vertical="bottom" wrapText="0"/>
    </xf>
    <xf borderId="42" fillId="0" fontId="5" numFmtId="0" xfId="0" applyBorder="1" applyFont="1"/>
    <xf borderId="1" fillId="2" fontId="11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shrinkToFit="0" vertical="bottom" wrapText="0"/>
    </xf>
    <xf borderId="5" fillId="2" fontId="6" numFmtId="0" xfId="0" applyAlignment="1" applyBorder="1" applyFont="1">
      <alignment horizontal="left" shrinkToFit="0" vertical="center" wrapText="0"/>
    </xf>
    <xf borderId="2" fillId="2" fontId="6" numFmtId="0" xfId="0" applyAlignment="1" applyBorder="1" applyFont="1">
      <alignment horizontal="left" shrinkToFit="0" vertical="bottom" wrapText="0"/>
    </xf>
    <xf borderId="43" fillId="2" fontId="6" numFmtId="0" xfId="0" applyAlignment="1" applyBorder="1" applyFont="1">
      <alignment horizontal="left" shrinkToFit="0" vertical="bottom" wrapText="0"/>
    </xf>
    <xf borderId="43" fillId="2" fontId="1" numFmtId="0" xfId="0" applyAlignment="1" applyBorder="1" applyFont="1">
      <alignment shrinkToFit="0" vertical="top" wrapText="0"/>
    </xf>
    <xf borderId="5" fillId="2" fontId="6" numFmtId="0" xfId="0" applyAlignment="1" applyBorder="1" applyFont="1">
      <alignment shrinkToFit="0" vertical="center" wrapText="0"/>
    </xf>
    <xf borderId="43" fillId="2" fontId="7" numFmtId="0" xfId="0" applyAlignment="1" applyBorder="1" applyFont="1">
      <alignment shrinkToFit="0" vertical="top" wrapText="0"/>
    </xf>
    <xf borderId="2" fillId="2" fontId="7" numFmtId="0" xfId="0" applyAlignment="1" applyBorder="1" applyFont="1">
      <alignment shrinkToFit="0" vertical="top" wrapText="0"/>
    </xf>
    <xf borderId="1" fillId="2" fontId="7" numFmtId="0" xfId="0" applyAlignment="1" applyBorder="1" applyFont="1">
      <alignment shrinkToFit="0" vertical="bottom" wrapText="0"/>
    </xf>
    <xf borderId="44" fillId="2" fontId="1" numFmtId="0" xfId="0" applyAlignment="1" applyBorder="1" applyFont="1">
      <alignment shrinkToFit="0" vertical="bottom" wrapText="0"/>
    </xf>
    <xf borderId="45" fillId="3" fontId="8" numFmtId="0" xfId="0" applyAlignment="1" applyBorder="1" applyFont="1">
      <alignment horizontal="center" shrinkToFit="0" vertical="bottom" wrapText="0"/>
    </xf>
    <xf borderId="15" fillId="3" fontId="8" numFmtId="0" xfId="0" applyAlignment="1" applyBorder="1" applyFont="1">
      <alignment horizontal="center" shrinkToFit="0" vertical="bottom" wrapText="0"/>
    </xf>
    <xf borderId="15" fillId="3" fontId="8" numFmtId="0" xfId="0" applyAlignment="1" applyBorder="1" applyFont="1">
      <alignment horizontal="center" shrinkToFit="0" vertical="bottom" wrapText="1"/>
    </xf>
    <xf borderId="23" fillId="3" fontId="8" numFmtId="0" xfId="0" applyAlignment="1" applyBorder="1" applyFont="1">
      <alignment horizontal="center" shrinkToFit="0" vertical="bottom" wrapText="0"/>
    </xf>
    <xf borderId="46" fillId="3" fontId="8" numFmtId="0" xfId="0" applyAlignment="1" applyBorder="1" applyFont="1">
      <alignment horizontal="center" shrinkToFit="0" vertical="bottom" wrapText="1"/>
    </xf>
    <xf borderId="47" fillId="2" fontId="1" numFmtId="0" xfId="0" applyAlignment="1" applyBorder="1" applyFont="1">
      <alignment horizontal="center" shrinkToFit="0" vertical="bottom" wrapText="0"/>
    </xf>
    <xf borderId="18" fillId="2" fontId="1" numFmtId="0" xfId="0" applyAlignment="1" applyBorder="1" applyFont="1">
      <alignment shrinkToFit="0" vertical="bottom" wrapText="0"/>
    </xf>
    <xf borderId="18" fillId="2" fontId="1" numFmtId="0" xfId="0" applyAlignment="1" applyBorder="1" applyFont="1">
      <alignment horizontal="center" shrinkToFit="0" vertical="bottom" wrapText="0"/>
    </xf>
    <xf borderId="48" fillId="2" fontId="1" numFmtId="0" xfId="0" applyAlignment="1" applyBorder="1" applyFont="1">
      <alignment horizontal="center" shrinkToFit="0" vertical="bottom" wrapText="0"/>
    </xf>
    <xf borderId="49" fillId="2" fontId="1" numFmtId="0" xfId="0" applyAlignment="1" applyBorder="1" applyFont="1">
      <alignment horizontal="center" shrinkToFit="0" vertical="bottom" wrapText="0"/>
    </xf>
    <xf borderId="50" fillId="3" fontId="20" numFmtId="0" xfId="0" applyAlignment="1" applyBorder="1" applyFont="1">
      <alignment horizontal="center" shrinkToFit="0" vertical="bottom" wrapText="0"/>
    </xf>
    <xf borderId="21" fillId="3" fontId="8" numFmtId="0" xfId="0" applyAlignment="1" applyBorder="1" applyFont="1">
      <alignment shrinkToFit="0" vertical="bottom" wrapText="0"/>
    </xf>
    <xf borderId="21" fillId="3" fontId="20" numFmtId="0" xfId="0" applyAlignment="1" applyBorder="1" applyFont="1">
      <alignment horizontal="center" shrinkToFit="0" vertical="bottom" wrapText="0"/>
    </xf>
    <xf borderId="51" fillId="3" fontId="20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2" fontId="1" numFmtId="10" xfId="0" applyAlignment="1" applyBorder="1" applyFont="1" applyNumberFormat="1">
      <alignment horizontal="center" shrinkToFit="0" vertical="bottom" wrapText="0"/>
    </xf>
    <xf borderId="1" fillId="2" fontId="1" numFmtId="9" xfId="0" applyAlignment="1" applyBorder="1" applyFont="1" applyNumberFormat="1">
      <alignment horizontal="center" shrinkToFit="0" vertical="bottom" wrapText="0"/>
    </xf>
    <xf borderId="1" fillId="2" fontId="21" numFmtId="2" xfId="0" applyAlignment="1" applyBorder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19.63"/>
    <col customWidth="1" min="3" max="3" width="9.25"/>
    <col customWidth="1" min="4" max="4" width="38.0"/>
    <col customWidth="1" min="5" max="5" width="8.0"/>
    <col customWidth="1" min="6" max="6" width="31.13"/>
    <col customWidth="1" min="7" max="7" width="31.0"/>
    <col customWidth="1" min="8" max="26" width="8.0"/>
  </cols>
  <sheetData>
    <row r="1" ht="12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75.75" customHeight="1">
      <c r="A2" s="4"/>
      <c r="B2" s="5"/>
      <c r="C2" s="6" t="s">
        <v>1</v>
      </c>
      <c r="D2" s="7"/>
      <c r="E2" s="7"/>
      <c r="F2" s="7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3"/>
      <c r="B3" s="10"/>
      <c r="C3" s="11"/>
      <c r="D3" s="3"/>
      <c r="E3" s="3"/>
      <c r="F3" s="1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13" t="s">
        <v>2</v>
      </c>
      <c r="C4" s="14" t="s">
        <v>3</v>
      </c>
      <c r="D4" s="7"/>
      <c r="E4" s="8"/>
      <c r="F4" s="13" t="s">
        <v>4</v>
      </c>
      <c r="G4" s="15" t="s">
        <v>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13" t="s">
        <v>6</v>
      </c>
      <c r="C5" s="14" t="s">
        <v>7</v>
      </c>
      <c r="D5" s="7"/>
      <c r="E5" s="8"/>
      <c r="F5" s="13" t="s">
        <v>8</v>
      </c>
      <c r="G5" s="15" t="s">
        <v>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16" t="s">
        <v>10</v>
      </c>
      <c r="C6" s="17" t="str">
        <f>C5&amp;"_"&amp;"XXX"&amp;"_"&amp;"vx.x"</f>
        <v>CSS_XXX_vx.x</v>
      </c>
      <c r="D6" s="18"/>
      <c r="E6" s="19"/>
      <c r="F6" s="13" t="s">
        <v>11</v>
      </c>
      <c r="G6" s="20" t="s">
        <v>12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3"/>
      <c r="B7" s="21"/>
      <c r="C7" s="22"/>
      <c r="D7" s="23"/>
      <c r="E7" s="24"/>
      <c r="F7" s="13" t="s">
        <v>13</v>
      </c>
      <c r="G7" s="2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"/>
      <c r="B8" s="26"/>
      <c r="C8" s="11"/>
      <c r="D8" s="3"/>
      <c r="E8" s="3"/>
      <c r="F8" s="10"/>
      <c r="G8" s="1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3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3"/>
      <c r="B10" s="27" t="s">
        <v>14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28"/>
      <c r="B11" s="29" t="s">
        <v>15</v>
      </c>
      <c r="C11" s="30" t="s">
        <v>13</v>
      </c>
      <c r="D11" s="30" t="s">
        <v>16</v>
      </c>
      <c r="E11" s="30" t="s">
        <v>17</v>
      </c>
      <c r="F11" s="30" t="s">
        <v>18</v>
      </c>
      <c r="G11" s="31" t="s">
        <v>19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39.0" customHeight="1">
      <c r="A12" s="32"/>
      <c r="B12" s="33" t="s">
        <v>12</v>
      </c>
      <c r="C12" s="34" t="s">
        <v>20</v>
      </c>
      <c r="D12" s="35" t="s">
        <v>21</v>
      </c>
      <c r="E12" s="35" t="s">
        <v>22</v>
      </c>
      <c r="F12" s="35" t="s">
        <v>23</v>
      </c>
      <c r="G12" s="36" t="s">
        <v>24</v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21.75" customHeight="1">
      <c r="A13" s="32"/>
      <c r="B13" s="37"/>
      <c r="C13" s="38"/>
      <c r="D13" s="39"/>
      <c r="E13" s="39"/>
      <c r="F13" s="39"/>
      <c r="G13" s="40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9.5" customHeight="1">
      <c r="A14" s="32"/>
      <c r="B14" s="37"/>
      <c r="C14" s="38"/>
      <c r="D14" s="39"/>
      <c r="E14" s="39"/>
      <c r="F14" s="39"/>
      <c r="G14" s="40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21.75" customHeight="1">
      <c r="A15" s="32"/>
      <c r="B15" s="37"/>
      <c r="C15" s="38"/>
      <c r="D15" s="39"/>
      <c r="E15" s="39"/>
      <c r="F15" s="39"/>
      <c r="G15" s="40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9.5" customHeight="1">
      <c r="A16" s="32"/>
      <c r="B16" s="37"/>
      <c r="C16" s="38"/>
      <c r="D16" s="39"/>
      <c r="E16" s="39"/>
      <c r="F16" s="39"/>
      <c r="G16" s="40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1.75" customHeight="1">
      <c r="A17" s="32"/>
      <c r="B17" s="37"/>
      <c r="C17" s="38"/>
      <c r="D17" s="39"/>
      <c r="E17" s="39"/>
      <c r="F17" s="39"/>
      <c r="G17" s="40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9.5" customHeight="1">
      <c r="A18" s="32"/>
      <c r="B18" s="41"/>
      <c r="C18" s="42"/>
      <c r="D18" s="43"/>
      <c r="E18" s="43"/>
      <c r="F18" s="43"/>
      <c r="G18" s="44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2.75" customHeight="1">
      <c r="A19" s="3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2:G2"/>
    <mergeCell ref="C4:E4"/>
    <mergeCell ref="C5:E5"/>
    <mergeCell ref="B6:B7"/>
    <mergeCell ref="C6:E7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1.75"/>
    <col customWidth="1" min="3" max="3" width="26.5"/>
    <col customWidth="1" min="4" max="4" width="17.13"/>
    <col customWidth="1" min="5" max="5" width="55.0"/>
    <col customWidth="1" min="6" max="6" width="48.5"/>
    <col customWidth="1" min="7" max="26" width="8.0"/>
  </cols>
  <sheetData>
    <row r="1" ht="24.0" customHeight="1">
      <c r="A1" s="12"/>
      <c r="B1" s="45"/>
      <c r="C1" s="46"/>
      <c r="D1" s="47" t="s">
        <v>25</v>
      </c>
      <c r="E1" s="48"/>
      <c r="F1" s="46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3.5" customHeight="1">
      <c r="A2" s="12"/>
      <c r="B2" s="45"/>
      <c r="C2" s="46"/>
      <c r="D2" s="49"/>
      <c r="E2" s="49"/>
      <c r="F2" s="46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2.75" customHeight="1">
      <c r="A3" s="12"/>
      <c r="B3" s="50" t="s">
        <v>2</v>
      </c>
      <c r="C3" s="7"/>
      <c r="D3" s="51" t="str">
        <f>Cover!C4</f>
        <v>Counter Sales System</v>
      </c>
      <c r="E3" s="7"/>
      <c r="F3" s="8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2.75" customHeight="1">
      <c r="A4" s="12"/>
      <c r="B4" s="50" t="s">
        <v>6</v>
      </c>
      <c r="C4" s="7"/>
      <c r="D4" s="51" t="str">
        <f>Cover!C5</f>
        <v>CSS</v>
      </c>
      <c r="E4" s="7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84.75" customHeight="1">
      <c r="A5" s="52"/>
      <c r="B5" s="53" t="s">
        <v>26</v>
      </c>
      <c r="C5" s="8"/>
      <c r="D5" s="54" t="s">
        <v>27</v>
      </c>
      <c r="E5" s="7"/>
      <c r="F5" s="8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ht="12.75" customHeight="1">
      <c r="A6" s="12"/>
      <c r="B6" s="55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2.75" customHeight="1">
      <c r="A7" s="56"/>
      <c r="B7" s="57"/>
      <c r="C7" s="58"/>
      <c r="D7" s="58"/>
      <c r="E7" s="58"/>
      <c r="F7" s="58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21.0" customHeight="1">
      <c r="A8" s="59"/>
      <c r="B8" s="60" t="s">
        <v>28</v>
      </c>
      <c r="C8" s="61" t="s">
        <v>29</v>
      </c>
      <c r="D8" s="61" t="s">
        <v>30</v>
      </c>
      <c r="E8" s="62" t="s">
        <v>31</v>
      </c>
      <c r="F8" s="63" t="s">
        <v>32</v>
      </c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ht="28.5" customHeight="1">
      <c r="A9" s="12"/>
      <c r="B9" s="64">
        <v>1.0</v>
      </c>
      <c r="C9" s="65" t="s">
        <v>33</v>
      </c>
      <c r="D9" s="66" t="s">
        <v>34</v>
      </c>
      <c r="E9" s="66" t="s">
        <v>35</v>
      </c>
      <c r="F9" s="67" t="s">
        <v>36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0" customHeight="1">
      <c r="A10" s="12"/>
      <c r="B10" s="64">
        <v>2.0</v>
      </c>
      <c r="C10" s="65" t="s">
        <v>37</v>
      </c>
      <c r="D10" s="66" t="s">
        <v>38</v>
      </c>
      <c r="E10" s="68" t="s">
        <v>39</v>
      </c>
      <c r="F10" s="67" t="s">
        <v>40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>
      <c r="A11" s="12"/>
      <c r="B11" s="69"/>
      <c r="C11" s="70"/>
      <c r="D11" s="71"/>
      <c r="E11" s="71"/>
      <c r="F11" s="7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>
      <c r="A12" s="12"/>
      <c r="B12" s="69"/>
      <c r="C12" s="70"/>
      <c r="D12" s="71"/>
      <c r="E12" s="71"/>
      <c r="F12" s="7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>
      <c r="A13" s="12"/>
      <c r="B13" s="69"/>
      <c r="C13" s="70"/>
      <c r="D13" s="71"/>
      <c r="E13" s="71"/>
      <c r="F13" s="7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A14" s="12"/>
      <c r="B14" s="69"/>
      <c r="C14" s="70"/>
      <c r="D14" s="73"/>
      <c r="E14" s="73"/>
      <c r="F14" s="7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A15" s="12"/>
      <c r="B15" s="69"/>
      <c r="C15" s="70"/>
      <c r="D15" s="73"/>
      <c r="E15" s="73"/>
      <c r="F15" s="7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A16" s="12"/>
      <c r="B16" s="69"/>
      <c r="C16" s="70"/>
      <c r="D16" s="73"/>
      <c r="E16" s="73"/>
      <c r="F16" s="7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A17" s="12"/>
      <c r="B17" s="69"/>
      <c r="C17" s="70"/>
      <c r="D17" s="73"/>
      <c r="E17" s="73"/>
      <c r="F17" s="7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12"/>
      <c r="B18" s="69"/>
      <c r="C18" s="70"/>
      <c r="D18" s="73"/>
      <c r="E18" s="73"/>
      <c r="F18" s="7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12"/>
      <c r="B19" s="69"/>
      <c r="C19" s="70"/>
      <c r="D19" s="73"/>
      <c r="E19" s="73"/>
      <c r="F19" s="7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12"/>
      <c r="B20" s="69"/>
      <c r="C20" s="70"/>
      <c r="D20" s="73"/>
      <c r="E20" s="73"/>
      <c r="F20" s="7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12"/>
      <c r="B21" s="74"/>
      <c r="C21" s="75"/>
      <c r="D21" s="76"/>
      <c r="E21" s="76"/>
      <c r="F21" s="77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12"/>
      <c r="B22" s="45"/>
      <c r="C22" s="46"/>
      <c r="D22" s="46"/>
      <c r="E22" s="46"/>
      <c r="F22" s="46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12"/>
      <c r="B23" s="45"/>
      <c r="C23" s="46"/>
      <c r="D23" s="46"/>
      <c r="E23" s="46"/>
      <c r="F23" s="46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12"/>
      <c r="B24" s="45"/>
      <c r="C24" s="46"/>
      <c r="D24" s="46"/>
      <c r="E24" s="46"/>
      <c r="F24" s="46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12"/>
      <c r="B25" s="45"/>
      <c r="C25" s="46"/>
      <c r="D25" s="46"/>
      <c r="E25" s="46"/>
      <c r="F25" s="46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12"/>
      <c r="B26" s="45"/>
      <c r="C26" s="46"/>
      <c r="D26" s="46"/>
      <c r="E26" s="46"/>
      <c r="F26" s="46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12"/>
      <c r="B27" s="45"/>
      <c r="C27" s="46"/>
      <c r="D27" s="46"/>
      <c r="E27" s="46"/>
      <c r="F27" s="46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12"/>
      <c r="B28" s="45"/>
      <c r="C28" s="46"/>
      <c r="D28" s="46"/>
      <c r="E28" s="46"/>
      <c r="F28" s="46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12"/>
      <c r="B29" s="45"/>
      <c r="C29" s="46"/>
      <c r="D29" s="46"/>
      <c r="E29" s="46"/>
      <c r="F29" s="46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12"/>
      <c r="B30" s="45"/>
      <c r="C30" s="46"/>
      <c r="D30" s="46"/>
      <c r="E30" s="46"/>
      <c r="F30" s="46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12"/>
      <c r="B31" s="45"/>
      <c r="C31" s="46"/>
      <c r="D31" s="46"/>
      <c r="E31" s="46"/>
      <c r="F31" s="46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12"/>
      <c r="B32" s="45"/>
      <c r="C32" s="46"/>
      <c r="D32" s="46"/>
      <c r="E32" s="46"/>
      <c r="F32" s="46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12"/>
      <c r="B33" s="45"/>
      <c r="C33" s="46"/>
      <c r="D33" s="46"/>
      <c r="E33" s="46"/>
      <c r="F33" s="46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12"/>
      <c r="B34" s="45"/>
      <c r="C34" s="46"/>
      <c r="D34" s="46"/>
      <c r="E34" s="46"/>
      <c r="F34" s="46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2"/>
      <c r="B35" s="45"/>
      <c r="C35" s="46"/>
      <c r="D35" s="46"/>
      <c r="E35" s="46"/>
      <c r="F35" s="46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12"/>
      <c r="B36" s="45"/>
      <c r="C36" s="46"/>
      <c r="D36" s="46"/>
      <c r="E36" s="46"/>
      <c r="F36" s="46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12"/>
      <c r="B37" s="45"/>
      <c r="C37" s="46"/>
      <c r="D37" s="46"/>
      <c r="E37" s="46"/>
      <c r="F37" s="46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12"/>
      <c r="B38" s="45"/>
      <c r="C38" s="46"/>
      <c r="D38" s="46"/>
      <c r="E38" s="46"/>
      <c r="F38" s="46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12"/>
      <c r="B39" s="45"/>
      <c r="C39" s="46"/>
      <c r="D39" s="46"/>
      <c r="E39" s="46"/>
      <c r="F39" s="46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12"/>
      <c r="B40" s="45"/>
      <c r="C40" s="46"/>
      <c r="D40" s="46"/>
      <c r="E40" s="46"/>
      <c r="F40" s="46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12"/>
      <c r="B41" s="45"/>
      <c r="C41" s="46"/>
      <c r="D41" s="46"/>
      <c r="E41" s="46"/>
      <c r="F41" s="46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12"/>
      <c r="B42" s="45"/>
      <c r="C42" s="46"/>
      <c r="D42" s="46"/>
      <c r="E42" s="46"/>
      <c r="F42" s="46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12"/>
      <c r="B43" s="45"/>
      <c r="C43" s="46"/>
      <c r="D43" s="46"/>
      <c r="E43" s="46"/>
      <c r="F43" s="46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12"/>
      <c r="B44" s="45"/>
      <c r="C44" s="46"/>
      <c r="D44" s="46"/>
      <c r="E44" s="46"/>
      <c r="F44" s="46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12"/>
      <c r="B45" s="45"/>
      <c r="C45" s="46"/>
      <c r="D45" s="46"/>
      <c r="E45" s="46"/>
      <c r="F45" s="46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12"/>
      <c r="B46" s="45"/>
      <c r="C46" s="46"/>
      <c r="D46" s="46"/>
      <c r="E46" s="46"/>
      <c r="F46" s="46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12"/>
      <c r="B47" s="45"/>
      <c r="C47" s="46"/>
      <c r="D47" s="46"/>
      <c r="E47" s="46"/>
      <c r="F47" s="46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12"/>
      <c r="B48" s="45"/>
      <c r="C48" s="46"/>
      <c r="D48" s="46"/>
      <c r="E48" s="46"/>
      <c r="F48" s="46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12"/>
      <c r="B49" s="45"/>
      <c r="C49" s="46"/>
      <c r="D49" s="46"/>
      <c r="E49" s="46"/>
      <c r="F49" s="46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12"/>
      <c r="B50" s="45"/>
      <c r="C50" s="46"/>
      <c r="D50" s="46"/>
      <c r="E50" s="46"/>
      <c r="F50" s="46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12"/>
      <c r="B51" s="45"/>
      <c r="C51" s="46"/>
      <c r="D51" s="46"/>
      <c r="E51" s="46"/>
      <c r="F51" s="46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12"/>
      <c r="B52" s="45"/>
      <c r="C52" s="46"/>
      <c r="D52" s="46"/>
      <c r="E52" s="46"/>
      <c r="F52" s="46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12"/>
      <c r="B53" s="45"/>
      <c r="C53" s="46"/>
      <c r="D53" s="46"/>
      <c r="E53" s="46"/>
      <c r="F53" s="46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12"/>
      <c r="B54" s="45"/>
      <c r="C54" s="46"/>
      <c r="D54" s="46"/>
      <c r="E54" s="46"/>
      <c r="F54" s="46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12"/>
      <c r="B55" s="45"/>
      <c r="C55" s="46"/>
      <c r="D55" s="46"/>
      <c r="E55" s="46"/>
      <c r="F55" s="46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12"/>
      <c r="B56" s="45"/>
      <c r="C56" s="46"/>
      <c r="D56" s="46"/>
      <c r="E56" s="46"/>
      <c r="F56" s="46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12"/>
      <c r="B57" s="45"/>
      <c r="C57" s="46"/>
      <c r="D57" s="46"/>
      <c r="E57" s="46"/>
      <c r="F57" s="46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12"/>
      <c r="B58" s="45"/>
      <c r="C58" s="46"/>
      <c r="D58" s="46"/>
      <c r="E58" s="46"/>
      <c r="F58" s="46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12"/>
      <c r="B59" s="45"/>
      <c r="C59" s="46"/>
      <c r="D59" s="46"/>
      <c r="E59" s="46"/>
      <c r="F59" s="46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12"/>
      <c r="B60" s="45"/>
      <c r="C60" s="46"/>
      <c r="D60" s="46"/>
      <c r="E60" s="46"/>
      <c r="F60" s="46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12"/>
      <c r="B61" s="45"/>
      <c r="C61" s="46"/>
      <c r="D61" s="46"/>
      <c r="E61" s="46"/>
      <c r="F61" s="46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12"/>
      <c r="B62" s="45"/>
      <c r="C62" s="46"/>
      <c r="D62" s="46"/>
      <c r="E62" s="46"/>
      <c r="F62" s="46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2"/>
      <c r="B63" s="45"/>
      <c r="C63" s="46"/>
      <c r="D63" s="46"/>
      <c r="E63" s="46"/>
      <c r="F63" s="46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12"/>
      <c r="B64" s="45"/>
      <c r="C64" s="46"/>
      <c r="D64" s="46"/>
      <c r="E64" s="46"/>
      <c r="F64" s="46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2"/>
      <c r="B65" s="45"/>
      <c r="C65" s="46"/>
      <c r="D65" s="46"/>
      <c r="E65" s="46"/>
      <c r="F65" s="46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12"/>
      <c r="B66" s="45"/>
      <c r="C66" s="46"/>
      <c r="D66" s="46"/>
      <c r="E66" s="46"/>
      <c r="F66" s="46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2"/>
      <c r="B67" s="45"/>
      <c r="C67" s="46"/>
      <c r="D67" s="46"/>
      <c r="E67" s="46"/>
      <c r="F67" s="46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12"/>
      <c r="B68" s="45"/>
      <c r="C68" s="46"/>
      <c r="D68" s="46"/>
      <c r="E68" s="46"/>
      <c r="F68" s="46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2"/>
      <c r="B69" s="45"/>
      <c r="C69" s="46"/>
      <c r="D69" s="46"/>
      <c r="E69" s="46"/>
      <c r="F69" s="46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12"/>
      <c r="B70" s="45"/>
      <c r="C70" s="46"/>
      <c r="D70" s="46"/>
      <c r="E70" s="46"/>
      <c r="F70" s="46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2"/>
      <c r="B71" s="45"/>
      <c r="C71" s="46"/>
      <c r="D71" s="46"/>
      <c r="E71" s="46"/>
      <c r="F71" s="46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12"/>
      <c r="B72" s="45"/>
      <c r="C72" s="46"/>
      <c r="D72" s="46"/>
      <c r="E72" s="46"/>
      <c r="F72" s="46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2"/>
      <c r="B73" s="45"/>
      <c r="C73" s="46"/>
      <c r="D73" s="46"/>
      <c r="E73" s="46"/>
      <c r="F73" s="46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12"/>
      <c r="B74" s="45"/>
      <c r="C74" s="46"/>
      <c r="D74" s="46"/>
      <c r="E74" s="46"/>
      <c r="F74" s="46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2"/>
      <c r="B75" s="45"/>
      <c r="C75" s="46"/>
      <c r="D75" s="46"/>
      <c r="E75" s="46"/>
      <c r="F75" s="46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12"/>
      <c r="B76" s="45"/>
      <c r="C76" s="46"/>
      <c r="D76" s="46"/>
      <c r="E76" s="46"/>
      <c r="F76" s="46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2"/>
      <c r="B77" s="45"/>
      <c r="C77" s="46"/>
      <c r="D77" s="46"/>
      <c r="E77" s="46"/>
      <c r="F77" s="46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12"/>
      <c r="B78" s="45"/>
      <c r="C78" s="46"/>
      <c r="D78" s="46"/>
      <c r="E78" s="46"/>
      <c r="F78" s="46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2"/>
      <c r="B79" s="45"/>
      <c r="C79" s="46"/>
      <c r="D79" s="46"/>
      <c r="E79" s="46"/>
      <c r="F79" s="46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12"/>
      <c r="B80" s="45"/>
      <c r="C80" s="46"/>
      <c r="D80" s="46"/>
      <c r="E80" s="46"/>
      <c r="F80" s="46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2"/>
      <c r="B81" s="45"/>
      <c r="C81" s="46"/>
      <c r="D81" s="46"/>
      <c r="E81" s="46"/>
      <c r="F81" s="46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12"/>
      <c r="B82" s="45"/>
      <c r="C82" s="46"/>
      <c r="D82" s="46"/>
      <c r="E82" s="46"/>
      <c r="F82" s="46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2"/>
      <c r="B83" s="45"/>
      <c r="C83" s="46"/>
      <c r="D83" s="46"/>
      <c r="E83" s="46"/>
      <c r="F83" s="46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12"/>
      <c r="B84" s="45"/>
      <c r="C84" s="46"/>
      <c r="D84" s="46"/>
      <c r="E84" s="46"/>
      <c r="F84" s="46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2"/>
      <c r="B85" s="45"/>
      <c r="C85" s="46"/>
      <c r="D85" s="46"/>
      <c r="E85" s="46"/>
      <c r="F85" s="46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12"/>
      <c r="B86" s="45"/>
      <c r="C86" s="46"/>
      <c r="D86" s="46"/>
      <c r="E86" s="46"/>
      <c r="F86" s="46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2"/>
      <c r="B87" s="45"/>
      <c r="C87" s="46"/>
      <c r="D87" s="46"/>
      <c r="E87" s="46"/>
      <c r="F87" s="46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12"/>
      <c r="B88" s="45"/>
      <c r="C88" s="46"/>
      <c r="D88" s="46"/>
      <c r="E88" s="46"/>
      <c r="F88" s="46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2"/>
      <c r="B89" s="45"/>
      <c r="C89" s="46"/>
      <c r="D89" s="46"/>
      <c r="E89" s="46"/>
      <c r="F89" s="46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2"/>
      <c r="B90" s="45"/>
      <c r="C90" s="46"/>
      <c r="D90" s="46"/>
      <c r="E90" s="46"/>
      <c r="F90" s="46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2"/>
      <c r="B91" s="45"/>
      <c r="C91" s="46"/>
      <c r="D91" s="46"/>
      <c r="E91" s="46"/>
      <c r="F91" s="46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12"/>
      <c r="B92" s="45"/>
      <c r="C92" s="46"/>
      <c r="D92" s="46"/>
      <c r="E92" s="46"/>
      <c r="F92" s="46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12"/>
      <c r="B93" s="45"/>
      <c r="C93" s="46"/>
      <c r="D93" s="46"/>
      <c r="E93" s="46"/>
      <c r="F93" s="46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12"/>
      <c r="B94" s="45"/>
      <c r="C94" s="46"/>
      <c r="D94" s="46"/>
      <c r="E94" s="46"/>
      <c r="F94" s="46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12"/>
      <c r="B95" s="45"/>
      <c r="C95" s="46"/>
      <c r="D95" s="46"/>
      <c r="E95" s="46"/>
      <c r="F95" s="46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12"/>
      <c r="B96" s="45"/>
      <c r="C96" s="46"/>
      <c r="D96" s="46"/>
      <c r="E96" s="46"/>
      <c r="F96" s="46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12"/>
      <c r="B97" s="45"/>
      <c r="C97" s="46"/>
      <c r="D97" s="46"/>
      <c r="E97" s="46"/>
      <c r="F97" s="46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12"/>
      <c r="B98" s="45"/>
      <c r="C98" s="46"/>
      <c r="D98" s="46"/>
      <c r="E98" s="46"/>
      <c r="F98" s="46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12"/>
      <c r="B99" s="45"/>
      <c r="C99" s="46"/>
      <c r="D99" s="46"/>
      <c r="E99" s="46"/>
      <c r="F99" s="46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2"/>
      <c r="B100" s="45"/>
      <c r="C100" s="46"/>
      <c r="D100" s="46"/>
      <c r="E100" s="46"/>
      <c r="F100" s="46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2"/>
      <c r="B101" s="45"/>
      <c r="C101" s="46"/>
      <c r="D101" s="46"/>
      <c r="E101" s="46"/>
      <c r="F101" s="46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2"/>
      <c r="B102" s="45"/>
      <c r="C102" s="46"/>
      <c r="D102" s="46"/>
      <c r="E102" s="46"/>
      <c r="F102" s="46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2"/>
      <c r="B103" s="45"/>
      <c r="C103" s="46"/>
      <c r="D103" s="46"/>
      <c r="E103" s="46"/>
      <c r="F103" s="46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12"/>
      <c r="B104" s="45"/>
      <c r="C104" s="46"/>
      <c r="D104" s="46"/>
      <c r="E104" s="46"/>
      <c r="F104" s="46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2"/>
      <c r="B105" s="45"/>
      <c r="C105" s="46"/>
      <c r="D105" s="46"/>
      <c r="E105" s="46"/>
      <c r="F105" s="46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2"/>
      <c r="B106" s="45"/>
      <c r="C106" s="46"/>
      <c r="D106" s="46"/>
      <c r="E106" s="46"/>
      <c r="F106" s="46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12"/>
      <c r="B107" s="45"/>
      <c r="C107" s="46"/>
      <c r="D107" s="46"/>
      <c r="E107" s="46"/>
      <c r="F107" s="46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2"/>
      <c r="B108" s="45"/>
      <c r="C108" s="46"/>
      <c r="D108" s="46"/>
      <c r="E108" s="46"/>
      <c r="F108" s="46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2"/>
      <c r="B109" s="45"/>
      <c r="C109" s="46"/>
      <c r="D109" s="46"/>
      <c r="E109" s="46"/>
      <c r="F109" s="46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2"/>
      <c r="B110" s="45"/>
      <c r="C110" s="46"/>
      <c r="D110" s="46"/>
      <c r="E110" s="46"/>
      <c r="F110" s="46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2"/>
      <c r="B111" s="45"/>
      <c r="C111" s="46"/>
      <c r="D111" s="46"/>
      <c r="E111" s="46"/>
      <c r="F111" s="46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2"/>
      <c r="B112" s="45"/>
      <c r="C112" s="46"/>
      <c r="D112" s="46"/>
      <c r="E112" s="46"/>
      <c r="F112" s="46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2"/>
      <c r="B113" s="45"/>
      <c r="C113" s="46"/>
      <c r="D113" s="46"/>
      <c r="E113" s="46"/>
      <c r="F113" s="46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2"/>
      <c r="B114" s="45"/>
      <c r="C114" s="46"/>
      <c r="D114" s="46"/>
      <c r="E114" s="46"/>
      <c r="F114" s="46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2"/>
      <c r="B115" s="45"/>
      <c r="C115" s="46"/>
      <c r="D115" s="46"/>
      <c r="E115" s="46"/>
      <c r="F115" s="46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2"/>
      <c r="B116" s="45"/>
      <c r="C116" s="46"/>
      <c r="D116" s="46"/>
      <c r="E116" s="46"/>
      <c r="F116" s="46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2"/>
      <c r="B117" s="45"/>
      <c r="C117" s="46"/>
      <c r="D117" s="46"/>
      <c r="E117" s="46"/>
      <c r="F117" s="46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12"/>
      <c r="B118" s="45"/>
      <c r="C118" s="46"/>
      <c r="D118" s="46"/>
      <c r="E118" s="46"/>
      <c r="F118" s="46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12"/>
      <c r="B119" s="45"/>
      <c r="C119" s="46"/>
      <c r="D119" s="46"/>
      <c r="E119" s="46"/>
      <c r="F119" s="46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12"/>
      <c r="B120" s="45"/>
      <c r="C120" s="46"/>
      <c r="D120" s="46"/>
      <c r="E120" s="46"/>
      <c r="F120" s="46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12"/>
      <c r="B121" s="45"/>
      <c r="C121" s="46"/>
      <c r="D121" s="46"/>
      <c r="E121" s="46"/>
      <c r="F121" s="46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12"/>
      <c r="B122" s="45"/>
      <c r="C122" s="46"/>
      <c r="D122" s="46"/>
      <c r="E122" s="46"/>
      <c r="F122" s="46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12"/>
      <c r="B123" s="45"/>
      <c r="C123" s="46"/>
      <c r="D123" s="46"/>
      <c r="E123" s="46"/>
      <c r="F123" s="46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12"/>
      <c r="B124" s="45"/>
      <c r="C124" s="46"/>
      <c r="D124" s="46"/>
      <c r="E124" s="46"/>
      <c r="F124" s="46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2"/>
      <c r="B125" s="45"/>
      <c r="C125" s="46"/>
      <c r="D125" s="46"/>
      <c r="E125" s="46"/>
      <c r="F125" s="46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2"/>
      <c r="B126" s="45"/>
      <c r="C126" s="46"/>
      <c r="D126" s="46"/>
      <c r="E126" s="46"/>
      <c r="F126" s="46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2"/>
      <c r="B127" s="45"/>
      <c r="C127" s="46"/>
      <c r="D127" s="46"/>
      <c r="E127" s="46"/>
      <c r="F127" s="46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2"/>
      <c r="B128" s="45"/>
      <c r="C128" s="46"/>
      <c r="D128" s="46"/>
      <c r="E128" s="46"/>
      <c r="F128" s="46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12"/>
      <c r="B129" s="45"/>
      <c r="C129" s="46"/>
      <c r="D129" s="46"/>
      <c r="E129" s="46"/>
      <c r="F129" s="46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12"/>
      <c r="B130" s="45"/>
      <c r="C130" s="46"/>
      <c r="D130" s="46"/>
      <c r="E130" s="46"/>
      <c r="F130" s="46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12"/>
      <c r="B131" s="45"/>
      <c r="C131" s="46"/>
      <c r="D131" s="46"/>
      <c r="E131" s="46"/>
      <c r="F131" s="46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12"/>
      <c r="B132" s="45"/>
      <c r="C132" s="46"/>
      <c r="D132" s="46"/>
      <c r="E132" s="46"/>
      <c r="F132" s="46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2"/>
      <c r="B133" s="45"/>
      <c r="C133" s="46"/>
      <c r="D133" s="46"/>
      <c r="E133" s="46"/>
      <c r="F133" s="46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2"/>
      <c r="B134" s="45"/>
      <c r="C134" s="46"/>
      <c r="D134" s="46"/>
      <c r="E134" s="46"/>
      <c r="F134" s="46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2"/>
      <c r="B135" s="45"/>
      <c r="C135" s="46"/>
      <c r="D135" s="46"/>
      <c r="E135" s="46"/>
      <c r="F135" s="46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2"/>
      <c r="B136" s="45"/>
      <c r="C136" s="46"/>
      <c r="D136" s="46"/>
      <c r="E136" s="46"/>
      <c r="F136" s="46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2"/>
      <c r="B137" s="45"/>
      <c r="C137" s="46"/>
      <c r="D137" s="46"/>
      <c r="E137" s="46"/>
      <c r="F137" s="46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2"/>
      <c r="B138" s="45"/>
      <c r="C138" s="46"/>
      <c r="D138" s="46"/>
      <c r="E138" s="46"/>
      <c r="F138" s="46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2"/>
      <c r="B139" s="45"/>
      <c r="C139" s="46"/>
      <c r="D139" s="46"/>
      <c r="E139" s="46"/>
      <c r="F139" s="46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2"/>
      <c r="B140" s="45"/>
      <c r="C140" s="46"/>
      <c r="D140" s="46"/>
      <c r="E140" s="46"/>
      <c r="F140" s="46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2"/>
      <c r="B141" s="45"/>
      <c r="C141" s="46"/>
      <c r="D141" s="46"/>
      <c r="E141" s="46"/>
      <c r="F141" s="46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2"/>
      <c r="B142" s="45"/>
      <c r="C142" s="46"/>
      <c r="D142" s="46"/>
      <c r="E142" s="46"/>
      <c r="F142" s="46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2"/>
      <c r="B143" s="45"/>
      <c r="C143" s="46"/>
      <c r="D143" s="46"/>
      <c r="E143" s="46"/>
      <c r="F143" s="46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2"/>
      <c r="B144" s="45"/>
      <c r="C144" s="46"/>
      <c r="D144" s="46"/>
      <c r="E144" s="46"/>
      <c r="F144" s="46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12"/>
      <c r="B145" s="45"/>
      <c r="C145" s="46"/>
      <c r="D145" s="46"/>
      <c r="E145" s="46"/>
      <c r="F145" s="46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12"/>
      <c r="B146" s="45"/>
      <c r="C146" s="46"/>
      <c r="D146" s="46"/>
      <c r="E146" s="46"/>
      <c r="F146" s="46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12"/>
      <c r="B147" s="45"/>
      <c r="C147" s="46"/>
      <c r="D147" s="46"/>
      <c r="E147" s="46"/>
      <c r="F147" s="46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2"/>
      <c r="B148" s="45"/>
      <c r="C148" s="46"/>
      <c r="D148" s="46"/>
      <c r="E148" s="46"/>
      <c r="F148" s="46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2"/>
      <c r="B149" s="45"/>
      <c r="C149" s="46"/>
      <c r="D149" s="46"/>
      <c r="E149" s="46"/>
      <c r="F149" s="46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2"/>
      <c r="B150" s="45"/>
      <c r="C150" s="46"/>
      <c r="D150" s="46"/>
      <c r="E150" s="46"/>
      <c r="F150" s="46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2"/>
      <c r="B151" s="45"/>
      <c r="C151" s="46"/>
      <c r="D151" s="46"/>
      <c r="E151" s="46"/>
      <c r="F151" s="46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2"/>
      <c r="B152" s="45"/>
      <c r="C152" s="46"/>
      <c r="D152" s="46"/>
      <c r="E152" s="46"/>
      <c r="F152" s="46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2"/>
      <c r="B153" s="45"/>
      <c r="C153" s="46"/>
      <c r="D153" s="46"/>
      <c r="E153" s="46"/>
      <c r="F153" s="46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2"/>
      <c r="B154" s="45"/>
      <c r="C154" s="46"/>
      <c r="D154" s="46"/>
      <c r="E154" s="46"/>
      <c r="F154" s="46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2"/>
      <c r="B155" s="45"/>
      <c r="C155" s="46"/>
      <c r="D155" s="46"/>
      <c r="E155" s="46"/>
      <c r="F155" s="46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2"/>
      <c r="B156" s="45"/>
      <c r="C156" s="46"/>
      <c r="D156" s="46"/>
      <c r="E156" s="46"/>
      <c r="F156" s="46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2"/>
      <c r="B157" s="45"/>
      <c r="C157" s="46"/>
      <c r="D157" s="46"/>
      <c r="E157" s="46"/>
      <c r="F157" s="46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2"/>
      <c r="B158" s="45"/>
      <c r="C158" s="46"/>
      <c r="D158" s="46"/>
      <c r="E158" s="46"/>
      <c r="F158" s="46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2"/>
      <c r="B159" s="45"/>
      <c r="C159" s="46"/>
      <c r="D159" s="46"/>
      <c r="E159" s="46"/>
      <c r="F159" s="46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2"/>
      <c r="B160" s="45"/>
      <c r="C160" s="46"/>
      <c r="D160" s="46"/>
      <c r="E160" s="46"/>
      <c r="F160" s="46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2"/>
      <c r="B161" s="45"/>
      <c r="C161" s="46"/>
      <c r="D161" s="46"/>
      <c r="E161" s="46"/>
      <c r="F161" s="46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12"/>
      <c r="B162" s="45"/>
      <c r="C162" s="46"/>
      <c r="D162" s="46"/>
      <c r="E162" s="46"/>
      <c r="F162" s="46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12"/>
      <c r="B163" s="45"/>
      <c r="C163" s="46"/>
      <c r="D163" s="46"/>
      <c r="E163" s="46"/>
      <c r="F163" s="46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12"/>
      <c r="B164" s="45"/>
      <c r="C164" s="46"/>
      <c r="D164" s="46"/>
      <c r="E164" s="46"/>
      <c r="F164" s="46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12"/>
      <c r="B165" s="45"/>
      <c r="C165" s="46"/>
      <c r="D165" s="46"/>
      <c r="E165" s="46"/>
      <c r="F165" s="46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12"/>
      <c r="B166" s="45"/>
      <c r="C166" s="46"/>
      <c r="D166" s="46"/>
      <c r="E166" s="46"/>
      <c r="F166" s="46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12"/>
      <c r="B167" s="45"/>
      <c r="C167" s="46"/>
      <c r="D167" s="46"/>
      <c r="E167" s="46"/>
      <c r="F167" s="46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12"/>
      <c r="B168" s="45"/>
      <c r="C168" s="46"/>
      <c r="D168" s="46"/>
      <c r="E168" s="46"/>
      <c r="F168" s="46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12"/>
      <c r="B169" s="45"/>
      <c r="C169" s="46"/>
      <c r="D169" s="46"/>
      <c r="E169" s="46"/>
      <c r="F169" s="46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12"/>
      <c r="B170" s="45"/>
      <c r="C170" s="46"/>
      <c r="D170" s="46"/>
      <c r="E170" s="46"/>
      <c r="F170" s="46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12"/>
      <c r="B171" s="45"/>
      <c r="C171" s="46"/>
      <c r="D171" s="46"/>
      <c r="E171" s="46"/>
      <c r="F171" s="46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12"/>
      <c r="B172" s="45"/>
      <c r="C172" s="46"/>
      <c r="D172" s="46"/>
      <c r="E172" s="46"/>
      <c r="F172" s="46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12"/>
      <c r="B173" s="45"/>
      <c r="C173" s="46"/>
      <c r="D173" s="46"/>
      <c r="E173" s="46"/>
      <c r="F173" s="46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2"/>
      <c r="B174" s="45"/>
      <c r="C174" s="46"/>
      <c r="D174" s="46"/>
      <c r="E174" s="46"/>
      <c r="F174" s="46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2"/>
      <c r="B175" s="45"/>
      <c r="C175" s="46"/>
      <c r="D175" s="46"/>
      <c r="E175" s="46"/>
      <c r="F175" s="46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2"/>
      <c r="B176" s="45"/>
      <c r="C176" s="46"/>
      <c r="D176" s="46"/>
      <c r="E176" s="46"/>
      <c r="F176" s="46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2"/>
      <c r="B177" s="45"/>
      <c r="C177" s="46"/>
      <c r="D177" s="46"/>
      <c r="E177" s="46"/>
      <c r="F177" s="46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2"/>
      <c r="B178" s="45"/>
      <c r="C178" s="46"/>
      <c r="D178" s="46"/>
      <c r="E178" s="46"/>
      <c r="F178" s="46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12"/>
      <c r="B179" s="45"/>
      <c r="C179" s="46"/>
      <c r="D179" s="46"/>
      <c r="E179" s="46"/>
      <c r="F179" s="46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12"/>
      <c r="B180" s="45"/>
      <c r="C180" s="46"/>
      <c r="D180" s="46"/>
      <c r="E180" s="46"/>
      <c r="F180" s="46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12"/>
      <c r="B181" s="45"/>
      <c r="C181" s="46"/>
      <c r="D181" s="46"/>
      <c r="E181" s="46"/>
      <c r="F181" s="46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2"/>
      <c r="B182" s="45"/>
      <c r="C182" s="46"/>
      <c r="D182" s="46"/>
      <c r="E182" s="46"/>
      <c r="F182" s="46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2"/>
      <c r="B183" s="45"/>
      <c r="C183" s="46"/>
      <c r="D183" s="46"/>
      <c r="E183" s="46"/>
      <c r="F183" s="46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2"/>
      <c r="B184" s="45"/>
      <c r="C184" s="46"/>
      <c r="D184" s="46"/>
      <c r="E184" s="46"/>
      <c r="F184" s="46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2"/>
      <c r="B185" s="45"/>
      <c r="C185" s="46"/>
      <c r="D185" s="46"/>
      <c r="E185" s="46"/>
      <c r="F185" s="46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2"/>
      <c r="B186" s="45"/>
      <c r="C186" s="46"/>
      <c r="D186" s="46"/>
      <c r="E186" s="46"/>
      <c r="F186" s="46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2"/>
      <c r="B187" s="45"/>
      <c r="C187" s="46"/>
      <c r="D187" s="46"/>
      <c r="E187" s="46"/>
      <c r="F187" s="46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2"/>
      <c r="B188" s="45"/>
      <c r="C188" s="46"/>
      <c r="D188" s="46"/>
      <c r="E188" s="46"/>
      <c r="F188" s="46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2"/>
      <c r="B189" s="45"/>
      <c r="C189" s="46"/>
      <c r="D189" s="46"/>
      <c r="E189" s="46"/>
      <c r="F189" s="46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2"/>
      <c r="B190" s="45"/>
      <c r="C190" s="46"/>
      <c r="D190" s="46"/>
      <c r="E190" s="46"/>
      <c r="F190" s="46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2"/>
      <c r="B191" s="45"/>
      <c r="C191" s="46"/>
      <c r="D191" s="46"/>
      <c r="E191" s="46"/>
      <c r="F191" s="46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2"/>
      <c r="B192" s="45"/>
      <c r="C192" s="46"/>
      <c r="D192" s="46"/>
      <c r="E192" s="46"/>
      <c r="F192" s="46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2"/>
      <c r="B193" s="45"/>
      <c r="C193" s="46"/>
      <c r="D193" s="46"/>
      <c r="E193" s="46"/>
      <c r="F193" s="46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2"/>
      <c r="B194" s="45"/>
      <c r="C194" s="46"/>
      <c r="D194" s="46"/>
      <c r="E194" s="46"/>
      <c r="F194" s="46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12"/>
      <c r="B195" s="45"/>
      <c r="C195" s="46"/>
      <c r="D195" s="46"/>
      <c r="E195" s="46"/>
      <c r="F195" s="46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2"/>
      <c r="B196" s="45"/>
      <c r="C196" s="46"/>
      <c r="D196" s="46"/>
      <c r="E196" s="46"/>
      <c r="F196" s="46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2"/>
      <c r="B197" s="45"/>
      <c r="C197" s="46"/>
      <c r="D197" s="46"/>
      <c r="E197" s="46"/>
      <c r="F197" s="46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2"/>
      <c r="B198" s="45"/>
      <c r="C198" s="46"/>
      <c r="D198" s="46"/>
      <c r="E198" s="46"/>
      <c r="F198" s="46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2"/>
      <c r="B199" s="45"/>
      <c r="C199" s="46"/>
      <c r="D199" s="46"/>
      <c r="E199" s="46"/>
      <c r="F199" s="46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2"/>
      <c r="B200" s="45"/>
      <c r="C200" s="46"/>
      <c r="D200" s="46"/>
      <c r="E200" s="46"/>
      <c r="F200" s="46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12"/>
      <c r="B201" s="45"/>
      <c r="C201" s="46"/>
      <c r="D201" s="46"/>
      <c r="E201" s="46"/>
      <c r="F201" s="46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12"/>
      <c r="B202" s="45"/>
      <c r="C202" s="46"/>
      <c r="D202" s="46"/>
      <c r="E202" s="46"/>
      <c r="F202" s="46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12"/>
      <c r="B203" s="45"/>
      <c r="C203" s="46"/>
      <c r="D203" s="46"/>
      <c r="E203" s="46"/>
      <c r="F203" s="46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12"/>
      <c r="B204" s="45"/>
      <c r="C204" s="46"/>
      <c r="D204" s="46"/>
      <c r="E204" s="46"/>
      <c r="F204" s="46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2"/>
      <c r="B205" s="45"/>
      <c r="C205" s="46"/>
      <c r="D205" s="46"/>
      <c r="E205" s="46"/>
      <c r="F205" s="46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2"/>
      <c r="B206" s="45"/>
      <c r="C206" s="46"/>
      <c r="D206" s="46"/>
      <c r="E206" s="46"/>
      <c r="F206" s="46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2"/>
      <c r="B207" s="45"/>
      <c r="C207" s="46"/>
      <c r="D207" s="46"/>
      <c r="E207" s="46"/>
      <c r="F207" s="46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2"/>
      <c r="B208" s="45"/>
      <c r="C208" s="46"/>
      <c r="D208" s="46"/>
      <c r="E208" s="46"/>
      <c r="F208" s="46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2"/>
      <c r="B209" s="45"/>
      <c r="C209" s="46"/>
      <c r="D209" s="46"/>
      <c r="E209" s="46"/>
      <c r="F209" s="46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2"/>
      <c r="B210" s="45"/>
      <c r="C210" s="46"/>
      <c r="D210" s="46"/>
      <c r="E210" s="46"/>
      <c r="F210" s="46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2"/>
      <c r="B211" s="45"/>
      <c r="C211" s="46"/>
      <c r="D211" s="46"/>
      <c r="E211" s="46"/>
      <c r="F211" s="46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2"/>
      <c r="B212" s="45"/>
      <c r="C212" s="46"/>
      <c r="D212" s="46"/>
      <c r="E212" s="46"/>
      <c r="F212" s="46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12"/>
      <c r="B213" s="45"/>
      <c r="C213" s="46"/>
      <c r="D213" s="46"/>
      <c r="E213" s="46"/>
      <c r="F213" s="46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12"/>
      <c r="B214" s="45"/>
      <c r="C214" s="46"/>
      <c r="D214" s="46"/>
      <c r="E214" s="46"/>
      <c r="F214" s="46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12"/>
      <c r="B215" s="45"/>
      <c r="C215" s="46"/>
      <c r="D215" s="46"/>
      <c r="E215" s="46"/>
      <c r="F215" s="46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12"/>
      <c r="B216" s="45"/>
      <c r="C216" s="46"/>
      <c r="D216" s="46"/>
      <c r="E216" s="46"/>
      <c r="F216" s="46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12"/>
      <c r="B217" s="45"/>
      <c r="C217" s="46"/>
      <c r="D217" s="46"/>
      <c r="E217" s="46"/>
      <c r="F217" s="46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12"/>
      <c r="B218" s="45"/>
      <c r="C218" s="46"/>
      <c r="D218" s="46"/>
      <c r="E218" s="46"/>
      <c r="F218" s="46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12"/>
      <c r="B219" s="45"/>
      <c r="C219" s="46"/>
      <c r="D219" s="46"/>
      <c r="E219" s="46"/>
      <c r="F219" s="46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12"/>
      <c r="B220" s="45"/>
      <c r="C220" s="46"/>
      <c r="D220" s="46"/>
      <c r="E220" s="46"/>
      <c r="F220" s="46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3:C3"/>
    <mergeCell ref="D3:F3"/>
    <mergeCell ref="B4:C4"/>
    <mergeCell ref="D4:F4"/>
    <mergeCell ref="B5:C5"/>
    <mergeCell ref="D5:F5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1.5"/>
    <col customWidth="1" min="2" max="2" width="19.13"/>
    <col customWidth="1" min="3" max="3" width="28.0"/>
    <col customWidth="1" min="4" max="4" width="30.13"/>
    <col customWidth="1" min="5" max="5" width="16.88"/>
    <col customWidth="1" min="6" max="6" width="12.25"/>
    <col customWidth="1" min="7" max="7" width="9.0"/>
    <col customWidth="1" min="8" max="8" width="17.63"/>
    <col customWidth="1" min="9" max="9" width="8.25"/>
    <col customWidth="1" hidden="1" min="10" max="10" width="8.0"/>
    <col customWidth="1" min="11" max="11" width="9.0"/>
    <col customWidth="1" min="12" max="26" width="8.0"/>
  </cols>
  <sheetData>
    <row r="1" ht="12.75" customHeight="1">
      <c r="A1" s="78"/>
      <c r="B1" s="79"/>
      <c r="C1" s="79"/>
      <c r="D1" s="79"/>
      <c r="E1" s="79"/>
      <c r="F1" s="80"/>
      <c r="G1" s="81"/>
      <c r="H1" s="52"/>
      <c r="I1" s="82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5.0" customHeight="1">
      <c r="A2" s="84" t="s">
        <v>41</v>
      </c>
      <c r="B2" s="85" t="s">
        <v>42</v>
      </c>
      <c r="C2" s="7"/>
      <c r="D2" s="7"/>
      <c r="E2" s="7"/>
      <c r="F2" s="86"/>
      <c r="G2" s="52"/>
      <c r="H2" s="52"/>
      <c r="I2" s="82"/>
      <c r="J2" s="83" t="s">
        <v>43</v>
      </c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25.5" customHeight="1">
      <c r="A3" s="87" t="s">
        <v>44</v>
      </c>
      <c r="B3" s="85" t="s">
        <v>45</v>
      </c>
      <c r="C3" s="7"/>
      <c r="D3" s="7"/>
      <c r="E3" s="7"/>
      <c r="F3" s="86"/>
      <c r="G3" s="52"/>
      <c r="H3" s="52"/>
      <c r="I3" s="82"/>
      <c r="J3" s="83" t="s">
        <v>46</v>
      </c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8.0" customHeight="1">
      <c r="A4" s="84" t="s">
        <v>47</v>
      </c>
      <c r="B4" s="88"/>
      <c r="C4" s="89"/>
      <c r="D4" s="89"/>
      <c r="E4" s="89"/>
      <c r="F4" s="90"/>
      <c r="G4" s="52"/>
      <c r="H4" s="52"/>
      <c r="I4" s="82"/>
      <c r="J4" s="91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19.5" customHeight="1">
      <c r="A5" s="92" t="s">
        <v>43</v>
      </c>
      <c r="B5" s="93" t="s">
        <v>46</v>
      </c>
      <c r="C5" s="93" t="s">
        <v>48</v>
      </c>
      <c r="D5" s="94" t="s">
        <v>49</v>
      </c>
      <c r="E5" s="95" t="s">
        <v>50</v>
      </c>
      <c r="F5" s="86"/>
      <c r="G5" s="96"/>
      <c r="H5" s="96"/>
      <c r="I5" s="97"/>
      <c r="J5" s="83" t="s">
        <v>51</v>
      </c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15.0" customHeight="1">
      <c r="A6" s="98">
        <f>COUNTIF(F9:F1000,"Pass")</f>
        <v>0</v>
      </c>
      <c r="B6" s="99">
        <f>COUNTIF(F9:F1000,"Fail")</f>
        <v>0</v>
      </c>
      <c r="C6" s="99">
        <f>E6-D6-B6-A6</f>
        <v>5</v>
      </c>
      <c r="D6" s="100">
        <f>COUNTIF(F$9:F$1000,"N/A")</f>
        <v>0</v>
      </c>
      <c r="E6" s="101">
        <f>COUNTA(A9:A1000)</f>
        <v>5</v>
      </c>
      <c r="F6" s="102"/>
      <c r="G6" s="96"/>
      <c r="H6" s="96"/>
      <c r="I6" s="97"/>
      <c r="J6" s="83" t="s">
        <v>49</v>
      </c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15.0" customHeight="1">
      <c r="A7" s="83"/>
      <c r="B7" s="83"/>
      <c r="C7" s="83"/>
      <c r="D7" s="103"/>
      <c r="E7" s="103"/>
      <c r="F7" s="103"/>
      <c r="G7" s="103"/>
      <c r="H7" s="103"/>
      <c r="I7" s="97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25.5" customHeight="1">
      <c r="A8" s="104" t="s">
        <v>52</v>
      </c>
      <c r="B8" s="104" t="s">
        <v>53</v>
      </c>
      <c r="C8" s="104" t="s">
        <v>54</v>
      </c>
      <c r="D8" s="104" t="s">
        <v>55</v>
      </c>
      <c r="E8" s="105" t="s">
        <v>56</v>
      </c>
      <c r="F8" s="105" t="s">
        <v>57</v>
      </c>
      <c r="G8" s="105" t="s">
        <v>58</v>
      </c>
      <c r="H8" s="104" t="s">
        <v>59</v>
      </c>
      <c r="I8" s="106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65.25" customHeight="1">
      <c r="A9" s="107" t="s">
        <v>60</v>
      </c>
      <c r="B9" s="108" t="s">
        <v>61</v>
      </c>
      <c r="C9" s="108" t="s">
        <v>62</v>
      </c>
      <c r="D9" s="109" t="s">
        <v>63</v>
      </c>
      <c r="E9" s="107"/>
      <c r="F9" s="110"/>
      <c r="G9" s="110"/>
      <c r="H9" s="111" t="s">
        <v>64</v>
      </c>
      <c r="I9" s="112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>
      <c r="A10" s="107" t="s">
        <v>65</v>
      </c>
      <c r="B10" s="111" t="s">
        <v>66</v>
      </c>
      <c r="C10" s="111" t="s">
        <v>67</v>
      </c>
      <c r="D10" s="114" t="s">
        <v>68</v>
      </c>
      <c r="E10" s="114"/>
      <c r="F10" s="110"/>
      <c r="G10" s="110"/>
      <c r="H10" s="111" t="s">
        <v>69</v>
      </c>
      <c r="I10" s="1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11" t="s">
        <v>70</v>
      </c>
      <c r="B11" s="111" t="s">
        <v>71</v>
      </c>
      <c r="C11" s="111" t="s">
        <v>72</v>
      </c>
      <c r="D11" s="114" t="s">
        <v>73</v>
      </c>
      <c r="E11" s="114"/>
      <c r="F11" s="110"/>
      <c r="G11" s="110"/>
      <c r="H11" s="111" t="s">
        <v>74</v>
      </c>
      <c r="I11" s="1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79.5" customHeight="1">
      <c r="A12" s="111" t="s">
        <v>75</v>
      </c>
      <c r="B12" s="111" t="s">
        <v>76</v>
      </c>
      <c r="C12" s="111" t="s">
        <v>77</v>
      </c>
      <c r="D12" s="111" t="s">
        <v>78</v>
      </c>
      <c r="E12" s="111"/>
      <c r="F12" s="110"/>
      <c r="G12" s="110"/>
      <c r="H12" s="111" t="s">
        <v>79</v>
      </c>
      <c r="I12" s="1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43.5" customHeight="1">
      <c r="A13" s="111" t="s">
        <v>80</v>
      </c>
      <c r="B13" s="111" t="s">
        <v>81</v>
      </c>
      <c r="C13" s="111" t="s">
        <v>82</v>
      </c>
      <c r="D13" s="111" t="s">
        <v>83</v>
      </c>
      <c r="E13" s="111"/>
      <c r="F13" s="115"/>
      <c r="G13" s="115"/>
      <c r="H13" s="111" t="s">
        <v>84</v>
      </c>
      <c r="I13" s="116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51.0" customHeight="1">
      <c r="A14" s="117"/>
      <c r="B14" s="118"/>
      <c r="C14" s="118"/>
      <c r="D14" s="117"/>
      <c r="E14" s="117"/>
      <c r="F14" s="119"/>
      <c r="G14" s="120"/>
      <c r="H14" s="117"/>
      <c r="I14" s="121"/>
      <c r="J14" s="83"/>
      <c r="K14" s="83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1.5" customHeight="1">
      <c r="A15" s="117"/>
      <c r="B15" s="117"/>
      <c r="C15" s="117"/>
      <c r="D15" s="117"/>
      <c r="E15" s="117"/>
      <c r="F15" s="119"/>
      <c r="G15" s="120"/>
      <c r="H15" s="117"/>
      <c r="I15" s="121"/>
      <c r="J15" s="83"/>
      <c r="K15" s="83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1.5" customHeight="1">
      <c r="A16" s="117"/>
      <c r="B16" s="117"/>
      <c r="C16" s="117"/>
      <c r="D16" s="117"/>
      <c r="E16" s="117"/>
      <c r="F16" s="119"/>
      <c r="G16" s="120"/>
      <c r="H16" s="117"/>
      <c r="I16" s="121"/>
      <c r="J16" s="83"/>
      <c r="K16" s="83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1.5" customHeight="1">
      <c r="A17" s="117"/>
      <c r="B17" s="117"/>
      <c r="C17" s="117"/>
      <c r="D17" s="117"/>
      <c r="E17" s="117"/>
      <c r="F17" s="119"/>
      <c r="G17" s="120"/>
      <c r="H17" s="117"/>
      <c r="I17" s="121"/>
      <c r="J17" s="83"/>
      <c r="K17" s="83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1.5" customHeight="1">
      <c r="A18" s="117"/>
      <c r="B18" s="117"/>
      <c r="C18" s="117"/>
      <c r="D18" s="117"/>
      <c r="E18" s="117"/>
      <c r="F18" s="119"/>
      <c r="G18" s="120"/>
      <c r="H18" s="117"/>
      <c r="I18" s="121"/>
      <c r="J18" s="83"/>
      <c r="K18" s="83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122"/>
      <c r="B19" s="122"/>
      <c r="C19" s="122"/>
      <c r="D19" s="122"/>
      <c r="E19" s="122"/>
      <c r="F19" s="123"/>
      <c r="G19" s="122"/>
      <c r="H19" s="122"/>
      <c r="I19" s="1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122"/>
      <c r="B20" s="122"/>
      <c r="C20" s="122"/>
      <c r="D20" s="122"/>
      <c r="E20" s="122"/>
      <c r="F20" s="122"/>
      <c r="G20" s="122"/>
      <c r="H20" s="122"/>
      <c r="I20" s="116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122"/>
      <c r="B21" s="122"/>
      <c r="C21" s="122"/>
      <c r="D21" s="122"/>
      <c r="E21" s="122"/>
      <c r="F21" s="122"/>
      <c r="G21" s="122"/>
      <c r="H21" s="122"/>
      <c r="I21" s="116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124"/>
      <c r="B22" s="124"/>
      <c r="C22" s="124"/>
      <c r="D22" s="124"/>
      <c r="E22" s="124"/>
      <c r="F22" s="124"/>
      <c r="G22" s="124"/>
      <c r="H22" s="124"/>
      <c r="I22" s="125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12"/>
      <c r="B23" s="12"/>
      <c r="C23" s="12"/>
      <c r="D23" s="12"/>
      <c r="E23" s="12"/>
      <c r="F23" s="12"/>
      <c r="G23" s="12"/>
      <c r="H23" s="12"/>
      <c r="I23" s="125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12"/>
      <c r="B24" s="12"/>
      <c r="C24" s="12"/>
      <c r="D24" s="12"/>
      <c r="E24" s="12"/>
      <c r="F24" s="12"/>
      <c r="G24" s="12"/>
      <c r="H24" s="12"/>
      <c r="I24" s="125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12"/>
      <c r="B25" s="12"/>
      <c r="C25" s="12"/>
      <c r="D25" s="12"/>
      <c r="E25" s="12"/>
      <c r="F25" s="12"/>
      <c r="G25" s="12"/>
      <c r="H25" s="12"/>
      <c r="I25" s="125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12"/>
      <c r="B26" s="12"/>
      <c r="C26" s="12"/>
      <c r="D26" s="12"/>
      <c r="E26" s="12"/>
      <c r="F26" s="12"/>
      <c r="G26" s="12"/>
      <c r="H26" s="12"/>
      <c r="I26" s="125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12"/>
      <c r="B27" s="12"/>
      <c r="C27" s="12"/>
      <c r="D27" s="12"/>
      <c r="E27" s="12"/>
      <c r="F27" s="12"/>
      <c r="G27" s="12"/>
      <c r="H27" s="12"/>
      <c r="I27" s="125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12"/>
      <c r="B28" s="12"/>
      <c r="C28" s="12"/>
      <c r="D28" s="12"/>
      <c r="E28" s="12"/>
      <c r="F28" s="12"/>
      <c r="G28" s="12"/>
      <c r="H28" s="12"/>
      <c r="I28" s="125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12"/>
      <c r="B29" s="12"/>
      <c r="C29" s="12"/>
      <c r="D29" s="12"/>
      <c r="E29" s="12"/>
      <c r="F29" s="12"/>
      <c r="G29" s="12"/>
      <c r="H29" s="12"/>
      <c r="I29" s="125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12"/>
      <c r="B30" s="12"/>
      <c r="C30" s="12"/>
      <c r="D30" s="12"/>
      <c r="E30" s="12"/>
      <c r="F30" s="12"/>
      <c r="G30" s="12"/>
      <c r="H30" s="12"/>
      <c r="I30" s="125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12"/>
      <c r="B31" s="12"/>
      <c r="C31" s="12"/>
      <c r="D31" s="12"/>
      <c r="E31" s="12"/>
      <c r="F31" s="12"/>
      <c r="G31" s="12"/>
      <c r="H31" s="12"/>
      <c r="I31" s="125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12"/>
      <c r="B32" s="12"/>
      <c r="C32" s="12"/>
      <c r="D32" s="12"/>
      <c r="E32" s="12"/>
      <c r="F32" s="12"/>
      <c r="G32" s="12"/>
      <c r="H32" s="12"/>
      <c r="I32" s="125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12"/>
      <c r="B33" s="12"/>
      <c r="C33" s="12"/>
      <c r="D33" s="12"/>
      <c r="E33" s="12"/>
      <c r="F33" s="12"/>
      <c r="G33" s="12"/>
      <c r="H33" s="12"/>
      <c r="I33" s="125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12"/>
      <c r="B34" s="12"/>
      <c r="C34" s="12"/>
      <c r="D34" s="12"/>
      <c r="E34" s="12"/>
      <c r="F34" s="12"/>
      <c r="G34" s="12"/>
      <c r="H34" s="12"/>
      <c r="I34" s="125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2"/>
      <c r="B35" s="12"/>
      <c r="C35" s="12"/>
      <c r="D35" s="12"/>
      <c r="E35" s="12"/>
      <c r="F35" s="12"/>
      <c r="G35" s="12"/>
      <c r="H35" s="12"/>
      <c r="I35" s="125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12"/>
      <c r="B36" s="12"/>
      <c r="C36" s="12"/>
      <c r="D36" s="12"/>
      <c r="E36" s="12"/>
      <c r="F36" s="12"/>
      <c r="G36" s="12"/>
      <c r="H36" s="12"/>
      <c r="I36" s="125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12"/>
      <c r="B37" s="12"/>
      <c r="C37" s="12"/>
      <c r="D37" s="12"/>
      <c r="E37" s="12"/>
      <c r="F37" s="12"/>
      <c r="G37" s="12"/>
      <c r="H37" s="12"/>
      <c r="I37" s="125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12"/>
      <c r="B38" s="12"/>
      <c r="C38" s="12"/>
      <c r="D38" s="12"/>
      <c r="E38" s="12"/>
      <c r="F38" s="12"/>
      <c r="G38" s="12"/>
      <c r="H38" s="12"/>
      <c r="I38" s="125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12"/>
      <c r="B39" s="12"/>
      <c r="C39" s="12"/>
      <c r="D39" s="12"/>
      <c r="E39" s="12"/>
      <c r="F39" s="12"/>
      <c r="G39" s="12"/>
      <c r="H39" s="12"/>
      <c r="I39" s="125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12"/>
      <c r="B40" s="12"/>
      <c r="C40" s="12"/>
      <c r="D40" s="12"/>
      <c r="E40" s="12"/>
      <c r="F40" s="12"/>
      <c r="G40" s="12"/>
      <c r="H40" s="12"/>
      <c r="I40" s="125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12"/>
      <c r="B41" s="12"/>
      <c r="C41" s="12"/>
      <c r="D41" s="12"/>
      <c r="E41" s="12"/>
      <c r="F41" s="12"/>
      <c r="G41" s="12"/>
      <c r="H41" s="12"/>
      <c r="I41" s="125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12"/>
      <c r="B42" s="12"/>
      <c r="C42" s="12"/>
      <c r="D42" s="12"/>
      <c r="E42" s="12"/>
      <c r="F42" s="12"/>
      <c r="G42" s="12"/>
      <c r="H42" s="12"/>
      <c r="I42" s="125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12"/>
      <c r="B43" s="12"/>
      <c r="C43" s="12"/>
      <c r="D43" s="12"/>
      <c r="E43" s="12"/>
      <c r="F43" s="12"/>
      <c r="G43" s="12"/>
      <c r="H43" s="12"/>
      <c r="I43" s="125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12"/>
      <c r="B44" s="12"/>
      <c r="C44" s="12"/>
      <c r="D44" s="12"/>
      <c r="E44" s="12"/>
      <c r="F44" s="12"/>
      <c r="G44" s="12"/>
      <c r="H44" s="12"/>
      <c r="I44" s="125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12"/>
      <c r="B45" s="12"/>
      <c r="C45" s="12"/>
      <c r="D45" s="12"/>
      <c r="E45" s="12"/>
      <c r="F45" s="12"/>
      <c r="G45" s="12"/>
      <c r="H45" s="12"/>
      <c r="I45" s="125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12"/>
      <c r="B46" s="12"/>
      <c r="C46" s="12"/>
      <c r="D46" s="12"/>
      <c r="E46" s="12"/>
      <c r="F46" s="12"/>
      <c r="G46" s="12"/>
      <c r="H46" s="12"/>
      <c r="I46" s="125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12"/>
      <c r="B47" s="12"/>
      <c r="C47" s="12"/>
      <c r="D47" s="12"/>
      <c r="E47" s="12"/>
      <c r="F47" s="12"/>
      <c r="G47" s="12"/>
      <c r="H47" s="12"/>
      <c r="I47" s="125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12"/>
      <c r="B48" s="12"/>
      <c r="C48" s="12"/>
      <c r="D48" s="12"/>
      <c r="E48" s="12"/>
      <c r="F48" s="12"/>
      <c r="G48" s="12"/>
      <c r="H48" s="12"/>
      <c r="I48" s="125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12"/>
      <c r="B49" s="12"/>
      <c r="C49" s="12"/>
      <c r="D49" s="12"/>
      <c r="E49" s="12"/>
      <c r="F49" s="12"/>
      <c r="G49" s="12"/>
      <c r="H49" s="12"/>
      <c r="I49" s="125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12"/>
      <c r="B50" s="12"/>
      <c r="C50" s="12"/>
      <c r="D50" s="12"/>
      <c r="E50" s="12"/>
      <c r="F50" s="12"/>
      <c r="G50" s="12"/>
      <c r="H50" s="12"/>
      <c r="I50" s="125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12"/>
      <c r="B51" s="12"/>
      <c r="C51" s="12"/>
      <c r="D51" s="12"/>
      <c r="E51" s="12"/>
      <c r="F51" s="12"/>
      <c r="G51" s="12"/>
      <c r="H51" s="12"/>
      <c r="I51" s="125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12"/>
      <c r="B52" s="12"/>
      <c r="C52" s="12"/>
      <c r="D52" s="12"/>
      <c r="E52" s="12"/>
      <c r="F52" s="12"/>
      <c r="G52" s="12"/>
      <c r="H52" s="12"/>
      <c r="I52" s="125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12"/>
      <c r="B53" s="12"/>
      <c r="C53" s="12"/>
      <c r="D53" s="12"/>
      <c r="E53" s="12"/>
      <c r="F53" s="12"/>
      <c r="G53" s="12"/>
      <c r="H53" s="12"/>
      <c r="I53" s="125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12"/>
      <c r="B54" s="12"/>
      <c r="C54" s="12"/>
      <c r="D54" s="12"/>
      <c r="E54" s="12"/>
      <c r="F54" s="12"/>
      <c r="G54" s="12"/>
      <c r="H54" s="12"/>
      <c r="I54" s="125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12"/>
      <c r="B55" s="12"/>
      <c r="C55" s="12"/>
      <c r="D55" s="12"/>
      <c r="E55" s="12"/>
      <c r="F55" s="12"/>
      <c r="G55" s="12"/>
      <c r="H55" s="12"/>
      <c r="I55" s="125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12"/>
      <c r="B56" s="12"/>
      <c r="C56" s="12"/>
      <c r="D56" s="12"/>
      <c r="E56" s="12"/>
      <c r="F56" s="12"/>
      <c r="G56" s="12"/>
      <c r="H56" s="12"/>
      <c r="I56" s="125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12"/>
      <c r="B57" s="12"/>
      <c r="C57" s="12"/>
      <c r="D57" s="12"/>
      <c r="E57" s="12"/>
      <c r="F57" s="12"/>
      <c r="G57" s="12"/>
      <c r="H57" s="12"/>
      <c r="I57" s="125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12"/>
      <c r="B58" s="12"/>
      <c r="C58" s="12"/>
      <c r="D58" s="12"/>
      <c r="E58" s="12"/>
      <c r="F58" s="12"/>
      <c r="G58" s="12"/>
      <c r="H58" s="12"/>
      <c r="I58" s="125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12"/>
      <c r="B59" s="12"/>
      <c r="C59" s="12"/>
      <c r="D59" s="12"/>
      <c r="E59" s="12"/>
      <c r="F59" s="12"/>
      <c r="G59" s="12"/>
      <c r="H59" s="12"/>
      <c r="I59" s="125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12"/>
      <c r="B60" s="12"/>
      <c r="C60" s="12"/>
      <c r="D60" s="12"/>
      <c r="E60" s="12"/>
      <c r="F60" s="12"/>
      <c r="G60" s="12"/>
      <c r="H60" s="12"/>
      <c r="I60" s="125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12"/>
      <c r="B61" s="12"/>
      <c r="C61" s="12"/>
      <c r="D61" s="12"/>
      <c r="E61" s="12"/>
      <c r="F61" s="12"/>
      <c r="G61" s="12"/>
      <c r="H61" s="12"/>
      <c r="I61" s="125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12"/>
      <c r="B62" s="12"/>
      <c r="C62" s="12"/>
      <c r="D62" s="12"/>
      <c r="E62" s="12"/>
      <c r="F62" s="12"/>
      <c r="G62" s="12"/>
      <c r="H62" s="12"/>
      <c r="I62" s="125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2"/>
      <c r="B63" s="12"/>
      <c r="C63" s="12"/>
      <c r="D63" s="12"/>
      <c r="E63" s="12"/>
      <c r="F63" s="12"/>
      <c r="G63" s="12"/>
      <c r="H63" s="12"/>
      <c r="I63" s="125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12"/>
      <c r="B64" s="12"/>
      <c r="C64" s="12"/>
      <c r="D64" s="12"/>
      <c r="E64" s="12"/>
      <c r="F64" s="12"/>
      <c r="G64" s="12"/>
      <c r="H64" s="12"/>
      <c r="I64" s="125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2"/>
      <c r="B65" s="12"/>
      <c r="C65" s="12"/>
      <c r="D65" s="12"/>
      <c r="E65" s="12"/>
      <c r="F65" s="12"/>
      <c r="G65" s="12"/>
      <c r="H65" s="12"/>
      <c r="I65" s="125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12"/>
      <c r="B66" s="12"/>
      <c r="C66" s="12"/>
      <c r="D66" s="12"/>
      <c r="E66" s="12"/>
      <c r="F66" s="12"/>
      <c r="G66" s="12"/>
      <c r="H66" s="12"/>
      <c r="I66" s="125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2"/>
      <c r="B67" s="12"/>
      <c r="C67" s="12"/>
      <c r="D67" s="12"/>
      <c r="E67" s="12"/>
      <c r="F67" s="12"/>
      <c r="G67" s="12"/>
      <c r="H67" s="12"/>
      <c r="I67" s="125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12"/>
      <c r="B68" s="12"/>
      <c r="C68" s="12"/>
      <c r="D68" s="12"/>
      <c r="E68" s="12"/>
      <c r="F68" s="12"/>
      <c r="G68" s="12"/>
      <c r="H68" s="12"/>
      <c r="I68" s="125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2"/>
      <c r="B69" s="12"/>
      <c r="C69" s="12"/>
      <c r="D69" s="12"/>
      <c r="E69" s="12"/>
      <c r="F69" s="12"/>
      <c r="G69" s="12"/>
      <c r="H69" s="12"/>
      <c r="I69" s="125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12"/>
      <c r="B70" s="12"/>
      <c r="C70" s="12"/>
      <c r="D70" s="12"/>
      <c r="E70" s="12"/>
      <c r="F70" s="12"/>
      <c r="G70" s="12"/>
      <c r="H70" s="12"/>
      <c r="I70" s="125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2"/>
      <c r="B71" s="12"/>
      <c r="C71" s="12"/>
      <c r="D71" s="12"/>
      <c r="E71" s="12"/>
      <c r="F71" s="12"/>
      <c r="G71" s="12"/>
      <c r="H71" s="12"/>
      <c r="I71" s="125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12"/>
      <c r="B72" s="12"/>
      <c r="C72" s="12"/>
      <c r="D72" s="12"/>
      <c r="E72" s="12"/>
      <c r="F72" s="12"/>
      <c r="G72" s="12"/>
      <c r="H72" s="12"/>
      <c r="I72" s="125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5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5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2"/>
      <c r="B75" s="12"/>
      <c r="C75" s="12"/>
      <c r="D75" s="12"/>
      <c r="E75" s="12"/>
      <c r="F75" s="12"/>
      <c r="G75" s="12"/>
      <c r="H75" s="12"/>
      <c r="I75" s="125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12"/>
      <c r="B76" s="12"/>
      <c r="C76" s="12"/>
      <c r="D76" s="12"/>
      <c r="E76" s="12"/>
      <c r="F76" s="12"/>
      <c r="G76" s="12"/>
      <c r="H76" s="12"/>
      <c r="I76" s="125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2"/>
      <c r="B77" s="12"/>
      <c r="C77" s="12"/>
      <c r="D77" s="12"/>
      <c r="E77" s="12"/>
      <c r="F77" s="12"/>
      <c r="G77" s="12"/>
      <c r="H77" s="12"/>
      <c r="I77" s="125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12"/>
      <c r="B78" s="12"/>
      <c r="C78" s="12"/>
      <c r="D78" s="12"/>
      <c r="E78" s="12"/>
      <c r="F78" s="12"/>
      <c r="G78" s="12"/>
      <c r="H78" s="12"/>
      <c r="I78" s="125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2"/>
      <c r="B79" s="12"/>
      <c r="C79" s="12"/>
      <c r="D79" s="12"/>
      <c r="E79" s="12"/>
      <c r="F79" s="12"/>
      <c r="G79" s="12"/>
      <c r="H79" s="12"/>
      <c r="I79" s="125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12"/>
      <c r="B80" s="12"/>
      <c r="C80" s="12"/>
      <c r="D80" s="12"/>
      <c r="E80" s="12"/>
      <c r="F80" s="12"/>
      <c r="G80" s="12"/>
      <c r="H80" s="12"/>
      <c r="I80" s="125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5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5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2"/>
      <c r="B83" s="12"/>
      <c r="C83" s="12"/>
      <c r="D83" s="12"/>
      <c r="E83" s="12"/>
      <c r="F83" s="12"/>
      <c r="G83" s="12"/>
      <c r="H83" s="12"/>
      <c r="I83" s="125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12"/>
      <c r="B84" s="12"/>
      <c r="C84" s="12"/>
      <c r="D84" s="12"/>
      <c r="E84" s="12"/>
      <c r="F84" s="12"/>
      <c r="G84" s="12"/>
      <c r="H84" s="12"/>
      <c r="I84" s="125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2"/>
      <c r="B85" s="12"/>
      <c r="C85" s="12"/>
      <c r="D85" s="12"/>
      <c r="E85" s="12"/>
      <c r="F85" s="12"/>
      <c r="G85" s="12"/>
      <c r="H85" s="12"/>
      <c r="I85" s="125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12"/>
      <c r="B86" s="12"/>
      <c r="C86" s="12"/>
      <c r="D86" s="12"/>
      <c r="E86" s="12"/>
      <c r="F86" s="12"/>
      <c r="G86" s="12"/>
      <c r="H86" s="12"/>
      <c r="I86" s="125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2"/>
      <c r="B87" s="12"/>
      <c r="C87" s="12"/>
      <c r="D87" s="12"/>
      <c r="E87" s="12"/>
      <c r="F87" s="12"/>
      <c r="G87" s="12"/>
      <c r="H87" s="12"/>
      <c r="I87" s="125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12"/>
      <c r="B88" s="12"/>
      <c r="C88" s="12"/>
      <c r="D88" s="12"/>
      <c r="E88" s="12"/>
      <c r="F88" s="12"/>
      <c r="G88" s="12"/>
      <c r="H88" s="12"/>
      <c r="I88" s="125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5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5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2"/>
      <c r="B91" s="12"/>
      <c r="C91" s="12"/>
      <c r="D91" s="12"/>
      <c r="E91" s="12"/>
      <c r="F91" s="12"/>
      <c r="G91" s="12"/>
      <c r="H91" s="12"/>
      <c r="I91" s="125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12"/>
      <c r="B92" s="12"/>
      <c r="C92" s="12"/>
      <c r="D92" s="12"/>
      <c r="E92" s="12"/>
      <c r="F92" s="12"/>
      <c r="G92" s="12"/>
      <c r="H92" s="12"/>
      <c r="I92" s="125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12"/>
      <c r="B93" s="12"/>
      <c r="C93" s="12"/>
      <c r="D93" s="12"/>
      <c r="E93" s="12"/>
      <c r="F93" s="12"/>
      <c r="G93" s="12"/>
      <c r="H93" s="12"/>
      <c r="I93" s="125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12"/>
      <c r="B94" s="12"/>
      <c r="C94" s="12"/>
      <c r="D94" s="12"/>
      <c r="E94" s="12"/>
      <c r="F94" s="12"/>
      <c r="G94" s="12"/>
      <c r="H94" s="12"/>
      <c r="I94" s="125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12"/>
      <c r="B95" s="12"/>
      <c r="C95" s="12"/>
      <c r="D95" s="12"/>
      <c r="E95" s="12"/>
      <c r="F95" s="12"/>
      <c r="G95" s="12"/>
      <c r="H95" s="12"/>
      <c r="I95" s="125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12"/>
      <c r="B96" s="12"/>
      <c r="C96" s="12"/>
      <c r="D96" s="12"/>
      <c r="E96" s="12"/>
      <c r="F96" s="12"/>
      <c r="G96" s="12"/>
      <c r="H96" s="12"/>
      <c r="I96" s="125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5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5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12"/>
      <c r="B99" s="12"/>
      <c r="C99" s="12"/>
      <c r="D99" s="12"/>
      <c r="E99" s="12"/>
      <c r="F99" s="12"/>
      <c r="G99" s="12"/>
      <c r="H99" s="12"/>
      <c r="I99" s="125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2"/>
      <c r="B100" s="12"/>
      <c r="C100" s="12"/>
      <c r="D100" s="12"/>
      <c r="E100" s="12"/>
      <c r="F100" s="12"/>
      <c r="G100" s="12"/>
      <c r="H100" s="12"/>
      <c r="I100" s="125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2"/>
      <c r="B101" s="12"/>
      <c r="C101" s="12"/>
      <c r="D101" s="12"/>
      <c r="E101" s="12"/>
      <c r="F101" s="12"/>
      <c r="G101" s="12"/>
      <c r="H101" s="12"/>
      <c r="I101" s="125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2"/>
      <c r="B102" s="12"/>
      <c r="C102" s="12"/>
      <c r="D102" s="12"/>
      <c r="E102" s="12"/>
      <c r="F102" s="12"/>
      <c r="G102" s="12"/>
      <c r="H102" s="12"/>
      <c r="I102" s="125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2"/>
      <c r="B103" s="12"/>
      <c r="C103" s="12"/>
      <c r="D103" s="12"/>
      <c r="E103" s="12"/>
      <c r="F103" s="12"/>
      <c r="G103" s="12"/>
      <c r="H103" s="12"/>
      <c r="I103" s="125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12"/>
      <c r="B104" s="12"/>
      <c r="C104" s="12"/>
      <c r="D104" s="12"/>
      <c r="E104" s="12"/>
      <c r="F104" s="12"/>
      <c r="G104" s="12"/>
      <c r="H104" s="12"/>
      <c r="I104" s="125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2"/>
      <c r="B105" s="12"/>
      <c r="C105" s="12"/>
      <c r="D105" s="12"/>
      <c r="E105" s="12"/>
      <c r="F105" s="12"/>
      <c r="G105" s="12"/>
      <c r="H105" s="12"/>
      <c r="I105" s="125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2"/>
      <c r="B106" s="12"/>
      <c r="C106" s="12"/>
      <c r="D106" s="12"/>
      <c r="E106" s="12"/>
      <c r="F106" s="12"/>
      <c r="G106" s="12"/>
      <c r="H106" s="12"/>
      <c r="I106" s="125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12"/>
      <c r="B107" s="12"/>
      <c r="C107" s="12"/>
      <c r="D107" s="12"/>
      <c r="E107" s="12"/>
      <c r="F107" s="12"/>
      <c r="G107" s="12"/>
      <c r="H107" s="12"/>
      <c r="I107" s="125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2"/>
      <c r="B108" s="12"/>
      <c r="C108" s="12"/>
      <c r="D108" s="12"/>
      <c r="E108" s="12"/>
      <c r="F108" s="12"/>
      <c r="G108" s="12"/>
      <c r="H108" s="12"/>
      <c r="I108" s="125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2"/>
      <c r="B109" s="12"/>
      <c r="C109" s="12"/>
      <c r="D109" s="12"/>
      <c r="E109" s="12"/>
      <c r="F109" s="12"/>
      <c r="G109" s="12"/>
      <c r="H109" s="12"/>
      <c r="I109" s="125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2"/>
      <c r="B110" s="12"/>
      <c r="C110" s="12"/>
      <c r="D110" s="12"/>
      <c r="E110" s="12"/>
      <c r="F110" s="12"/>
      <c r="G110" s="12"/>
      <c r="H110" s="12"/>
      <c r="I110" s="125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2"/>
      <c r="B111" s="12"/>
      <c r="C111" s="12"/>
      <c r="D111" s="12"/>
      <c r="E111" s="12"/>
      <c r="F111" s="12"/>
      <c r="G111" s="12"/>
      <c r="H111" s="12"/>
      <c r="I111" s="125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5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2"/>
      <c r="B113" s="12"/>
      <c r="C113" s="12"/>
      <c r="D113" s="12"/>
      <c r="E113" s="12"/>
      <c r="F113" s="12"/>
      <c r="G113" s="12"/>
      <c r="H113" s="12"/>
      <c r="I113" s="125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2"/>
      <c r="B114" s="12"/>
      <c r="C114" s="12"/>
      <c r="D114" s="12"/>
      <c r="E114" s="12"/>
      <c r="F114" s="12"/>
      <c r="G114" s="12"/>
      <c r="H114" s="12"/>
      <c r="I114" s="125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2"/>
      <c r="B115" s="12"/>
      <c r="C115" s="12"/>
      <c r="D115" s="12"/>
      <c r="E115" s="12"/>
      <c r="F115" s="12"/>
      <c r="G115" s="12"/>
      <c r="H115" s="12"/>
      <c r="I115" s="125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2"/>
      <c r="B116" s="12"/>
      <c r="C116" s="12"/>
      <c r="D116" s="12"/>
      <c r="E116" s="12"/>
      <c r="F116" s="12"/>
      <c r="G116" s="12"/>
      <c r="H116" s="12"/>
      <c r="I116" s="125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2"/>
      <c r="B117" s="12"/>
      <c r="C117" s="12"/>
      <c r="D117" s="12"/>
      <c r="E117" s="12"/>
      <c r="F117" s="12"/>
      <c r="G117" s="12"/>
      <c r="H117" s="12"/>
      <c r="I117" s="125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12"/>
      <c r="B118" s="12"/>
      <c r="C118" s="12"/>
      <c r="D118" s="12"/>
      <c r="E118" s="12"/>
      <c r="F118" s="12"/>
      <c r="G118" s="12"/>
      <c r="H118" s="12"/>
      <c r="I118" s="125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12"/>
      <c r="B119" s="12"/>
      <c r="C119" s="12"/>
      <c r="D119" s="12"/>
      <c r="E119" s="12"/>
      <c r="F119" s="12"/>
      <c r="G119" s="12"/>
      <c r="H119" s="12"/>
      <c r="I119" s="125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12"/>
      <c r="B120" s="12"/>
      <c r="C120" s="12"/>
      <c r="D120" s="12"/>
      <c r="E120" s="12"/>
      <c r="F120" s="12"/>
      <c r="G120" s="12"/>
      <c r="H120" s="12"/>
      <c r="I120" s="125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12"/>
      <c r="B121" s="12"/>
      <c r="C121" s="12"/>
      <c r="D121" s="12"/>
      <c r="E121" s="12"/>
      <c r="F121" s="12"/>
      <c r="G121" s="12"/>
      <c r="H121" s="12"/>
      <c r="I121" s="125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12"/>
      <c r="B122" s="12"/>
      <c r="C122" s="12"/>
      <c r="D122" s="12"/>
      <c r="E122" s="12"/>
      <c r="F122" s="12"/>
      <c r="G122" s="12"/>
      <c r="H122" s="12"/>
      <c r="I122" s="125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12"/>
      <c r="B123" s="12"/>
      <c r="C123" s="12"/>
      <c r="D123" s="12"/>
      <c r="E123" s="12"/>
      <c r="F123" s="12"/>
      <c r="G123" s="12"/>
      <c r="H123" s="12"/>
      <c r="I123" s="125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12"/>
      <c r="B124" s="12"/>
      <c r="C124" s="12"/>
      <c r="D124" s="12"/>
      <c r="E124" s="12"/>
      <c r="F124" s="12"/>
      <c r="G124" s="12"/>
      <c r="H124" s="12"/>
      <c r="I124" s="125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2"/>
      <c r="B125" s="12"/>
      <c r="C125" s="12"/>
      <c r="D125" s="12"/>
      <c r="E125" s="12"/>
      <c r="F125" s="12"/>
      <c r="G125" s="12"/>
      <c r="H125" s="12"/>
      <c r="I125" s="125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2"/>
      <c r="B126" s="12"/>
      <c r="C126" s="12"/>
      <c r="D126" s="12"/>
      <c r="E126" s="12"/>
      <c r="F126" s="12"/>
      <c r="G126" s="12"/>
      <c r="H126" s="12"/>
      <c r="I126" s="125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2"/>
      <c r="B127" s="12"/>
      <c r="C127" s="12"/>
      <c r="D127" s="12"/>
      <c r="E127" s="12"/>
      <c r="F127" s="12"/>
      <c r="G127" s="12"/>
      <c r="H127" s="12"/>
      <c r="I127" s="125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2"/>
      <c r="B128" s="12"/>
      <c r="C128" s="12"/>
      <c r="D128" s="12"/>
      <c r="E128" s="12"/>
      <c r="F128" s="12"/>
      <c r="G128" s="12"/>
      <c r="H128" s="12"/>
      <c r="I128" s="125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12"/>
      <c r="B129" s="12"/>
      <c r="C129" s="12"/>
      <c r="D129" s="12"/>
      <c r="E129" s="12"/>
      <c r="F129" s="12"/>
      <c r="G129" s="12"/>
      <c r="H129" s="12"/>
      <c r="I129" s="125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12"/>
      <c r="B130" s="12"/>
      <c r="C130" s="12"/>
      <c r="D130" s="12"/>
      <c r="E130" s="12"/>
      <c r="F130" s="12"/>
      <c r="G130" s="12"/>
      <c r="H130" s="12"/>
      <c r="I130" s="125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12"/>
      <c r="B131" s="12"/>
      <c r="C131" s="12"/>
      <c r="D131" s="12"/>
      <c r="E131" s="12"/>
      <c r="F131" s="12"/>
      <c r="G131" s="12"/>
      <c r="H131" s="12"/>
      <c r="I131" s="125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12"/>
      <c r="B132" s="12"/>
      <c r="C132" s="12"/>
      <c r="D132" s="12"/>
      <c r="E132" s="12"/>
      <c r="F132" s="12"/>
      <c r="G132" s="12"/>
      <c r="H132" s="12"/>
      <c r="I132" s="125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2"/>
      <c r="B133" s="12"/>
      <c r="C133" s="12"/>
      <c r="D133" s="12"/>
      <c r="E133" s="12"/>
      <c r="F133" s="12"/>
      <c r="G133" s="12"/>
      <c r="H133" s="12"/>
      <c r="I133" s="125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2"/>
      <c r="B134" s="12"/>
      <c r="C134" s="12"/>
      <c r="D134" s="12"/>
      <c r="E134" s="12"/>
      <c r="F134" s="12"/>
      <c r="G134" s="12"/>
      <c r="H134" s="12"/>
      <c r="I134" s="125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2"/>
      <c r="B135" s="12"/>
      <c r="C135" s="12"/>
      <c r="D135" s="12"/>
      <c r="E135" s="12"/>
      <c r="F135" s="12"/>
      <c r="G135" s="12"/>
      <c r="H135" s="12"/>
      <c r="I135" s="125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2"/>
      <c r="B136" s="12"/>
      <c r="C136" s="12"/>
      <c r="D136" s="12"/>
      <c r="E136" s="12"/>
      <c r="F136" s="12"/>
      <c r="G136" s="12"/>
      <c r="H136" s="12"/>
      <c r="I136" s="125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2"/>
      <c r="B137" s="12"/>
      <c r="C137" s="12"/>
      <c r="D137" s="12"/>
      <c r="E137" s="12"/>
      <c r="F137" s="12"/>
      <c r="G137" s="12"/>
      <c r="H137" s="12"/>
      <c r="I137" s="125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2"/>
      <c r="B138" s="12"/>
      <c r="C138" s="12"/>
      <c r="D138" s="12"/>
      <c r="E138" s="12"/>
      <c r="F138" s="12"/>
      <c r="G138" s="12"/>
      <c r="H138" s="12"/>
      <c r="I138" s="125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2"/>
      <c r="B139" s="12"/>
      <c r="C139" s="12"/>
      <c r="D139" s="12"/>
      <c r="E139" s="12"/>
      <c r="F139" s="12"/>
      <c r="G139" s="12"/>
      <c r="H139" s="12"/>
      <c r="I139" s="125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2"/>
      <c r="B140" s="12"/>
      <c r="C140" s="12"/>
      <c r="D140" s="12"/>
      <c r="E140" s="12"/>
      <c r="F140" s="12"/>
      <c r="G140" s="12"/>
      <c r="H140" s="12"/>
      <c r="I140" s="125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2"/>
      <c r="B141" s="12"/>
      <c r="C141" s="12"/>
      <c r="D141" s="12"/>
      <c r="E141" s="12"/>
      <c r="F141" s="12"/>
      <c r="G141" s="12"/>
      <c r="H141" s="12"/>
      <c r="I141" s="125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2"/>
      <c r="B142" s="12"/>
      <c r="C142" s="12"/>
      <c r="D142" s="12"/>
      <c r="E142" s="12"/>
      <c r="F142" s="12"/>
      <c r="G142" s="12"/>
      <c r="H142" s="12"/>
      <c r="I142" s="125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2"/>
      <c r="B143" s="12"/>
      <c r="C143" s="12"/>
      <c r="D143" s="12"/>
      <c r="E143" s="12"/>
      <c r="F143" s="12"/>
      <c r="G143" s="12"/>
      <c r="H143" s="12"/>
      <c r="I143" s="125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2"/>
      <c r="B144" s="12"/>
      <c r="C144" s="12"/>
      <c r="D144" s="12"/>
      <c r="E144" s="12"/>
      <c r="F144" s="12"/>
      <c r="G144" s="12"/>
      <c r="H144" s="12"/>
      <c r="I144" s="125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12"/>
      <c r="B145" s="12"/>
      <c r="C145" s="12"/>
      <c r="D145" s="12"/>
      <c r="E145" s="12"/>
      <c r="F145" s="12"/>
      <c r="G145" s="12"/>
      <c r="H145" s="12"/>
      <c r="I145" s="125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12"/>
      <c r="B146" s="12"/>
      <c r="C146" s="12"/>
      <c r="D146" s="12"/>
      <c r="E146" s="12"/>
      <c r="F146" s="12"/>
      <c r="G146" s="12"/>
      <c r="H146" s="12"/>
      <c r="I146" s="125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12"/>
      <c r="B147" s="12"/>
      <c r="C147" s="12"/>
      <c r="D147" s="12"/>
      <c r="E147" s="12"/>
      <c r="F147" s="12"/>
      <c r="G147" s="12"/>
      <c r="H147" s="12"/>
      <c r="I147" s="125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2"/>
      <c r="B148" s="12"/>
      <c r="C148" s="12"/>
      <c r="D148" s="12"/>
      <c r="E148" s="12"/>
      <c r="F148" s="12"/>
      <c r="G148" s="12"/>
      <c r="H148" s="12"/>
      <c r="I148" s="125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2"/>
      <c r="B149" s="12"/>
      <c r="C149" s="12"/>
      <c r="D149" s="12"/>
      <c r="E149" s="12"/>
      <c r="F149" s="12"/>
      <c r="G149" s="12"/>
      <c r="H149" s="12"/>
      <c r="I149" s="125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2"/>
      <c r="B150" s="12"/>
      <c r="C150" s="12"/>
      <c r="D150" s="12"/>
      <c r="E150" s="12"/>
      <c r="F150" s="12"/>
      <c r="G150" s="12"/>
      <c r="H150" s="12"/>
      <c r="I150" s="125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2"/>
      <c r="B151" s="12"/>
      <c r="C151" s="12"/>
      <c r="D151" s="12"/>
      <c r="E151" s="12"/>
      <c r="F151" s="12"/>
      <c r="G151" s="12"/>
      <c r="H151" s="12"/>
      <c r="I151" s="125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2"/>
      <c r="B152" s="12"/>
      <c r="C152" s="12"/>
      <c r="D152" s="12"/>
      <c r="E152" s="12"/>
      <c r="F152" s="12"/>
      <c r="G152" s="12"/>
      <c r="H152" s="12"/>
      <c r="I152" s="125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2"/>
      <c r="B153" s="12"/>
      <c r="C153" s="12"/>
      <c r="D153" s="12"/>
      <c r="E153" s="12"/>
      <c r="F153" s="12"/>
      <c r="G153" s="12"/>
      <c r="H153" s="12"/>
      <c r="I153" s="125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2"/>
      <c r="B154" s="12"/>
      <c r="C154" s="12"/>
      <c r="D154" s="12"/>
      <c r="E154" s="12"/>
      <c r="F154" s="12"/>
      <c r="G154" s="12"/>
      <c r="H154" s="12"/>
      <c r="I154" s="125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2"/>
      <c r="B155" s="12"/>
      <c r="C155" s="12"/>
      <c r="D155" s="12"/>
      <c r="E155" s="12"/>
      <c r="F155" s="12"/>
      <c r="G155" s="12"/>
      <c r="H155" s="12"/>
      <c r="I155" s="125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2"/>
      <c r="B156" s="12"/>
      <c r="C156" s="12"/>
      <c r="D156" s="12"/>
      <c r="E156" s="12"/>
      <c r="F156" s="12"/>
      <c r="G156" s="12"/>
      <c r="H156" s="12"/>
      <c r="I156" s="125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2"/>
      <c r="B157" s="12"/>
      <c r="C157" s="12"/>
      <c r="D157" s="12"/>
      <c r="E157" s="12"/>
      <c r="F157" s="12"/>
      <c r="G157" s="12"/>
      <c r="H157" s="12"/>
      <c r="I157" s="125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2"/>
      <c r="B158" s="12"/>
      <c r="C158" s="12"/>
      <c r="D158" s="12"/>
      <c r="E158" s="12"/>
      <c r="F158" s="12"/>
      <c r="G158" s="12"/>
      <c r="H158" s="12"/>
      <c r="I158" s="125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2"/>
      <c r="B159" s="12"/>
      <c r="C159" s="12"/>
      <c r="D159" s="12"/>
      <c r="E159" s="12"/>
      <c r="F159" s="12"/>
      <c r="G159" s="12"/>
      <c r="H159" s="12"/>
      <c r="I159" s="125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2"/>
      <c r="B160" s="12"/>
      <c r="C160" s="12"/>
      <c r="D160" s="12"/>
      <c r="E160" s="12"/>
      <c r="F160" s="12"/>
      <c r="G160" s="12"/>
      <c r="H160" s="12"/>
      <c r="I160" s="125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2"/>
      <c r="B161" s="12"/>
      <c r="C161" s="12"/>
      <c r="D161" s="12"/>
      <c r="E161" s="12"/>
      <c r="F161" s="12"/>
      <c r="G161" s="12"/>
      <c r="H161" s="12"/>
      <c r="I161" s="125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12"/>
      <c r="B162" s="12"/>
      <c r="C162" s="12"/>
      <c r="D162" s="12"/>
      <c r="E162" s="12"/>
      <c r="F162" s="12"/>
      <c r="G162" s="12"/>
      <c r="H162" s="12"/>
      <c r="I162" s="125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12"/>
      <c r="B163" s="12"/>
      <c r="C163" s="12"/>
      <c r="D163" s="12"/>
      <c r="E163" s="12"/>
      <c r="F163" s="12"/>
      <c r="G163" s="12"/>
      <c r="H163" s="12"/>
      <c r="I163" s="125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12"/>
      <c r="B164" s="12"/>
      <c r="C164" s="12"/>
      <c r="D164" s="12"/>
      <c r="E164" s="12"/>
      <c r="F164" s="12"/>
      <c r="G164" s="12"/>
      <c r="H164" s="12"/>
      <c r="I164" s="125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12"/>
      <c r="B165" s="12"/>
      <c r="C165" s="12"/>
      <c r="D165" s="12"/>
      <c r="E165" s="12"/>
      <c r="F165" s="12"/>
      <c r="G165" s="12"/>
      <c r="H165" s="12"/>
      <c r="I165" s="125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12"/>
      <c r="B166" s="12"/>
      <c r="C166" s="12"/>
      <c r="D166" s="12"/>
      <c r="E166" s="12"/>
      <c r="F166" s="12"/>
      <c r="G166" s="12"/>
      <c r="H166" s="12"/>
      <c r="I166" s="125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12"/>
      <c r="B167" s="12"/>
      <c r="C167" s="12"/>
      <c r="D167" s="12"/>
      <c r="E167" s="12"/>
      <c r="F167" s="12"/>
      <c r="G167" s="12"/>
      <c r="H167" s="12"/>
      <c r="I167" s="125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12"/>
      <c r="B168" s="12"/>
      <c r="C168" s="12"/>
      <c r="D168" s="12"/>
      <c r="E168" s="12"/>
      <c r="F168" s="12"/>
      <c r="G168" s="12"/>
      <c r="H168" s="12"/>
      <c r="I168" s="125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12"/>
      <c r="B169" s="12"/>
      <c r="C169" s="12"/>
      <c r="D169" s="12"/>
      <c r="E169" s="12"/>
      <c r="F169" s="12"/>
      <c r="G169" s="12"/>
      <c r="H169" s="12"/>
      <c r="I169" s="125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12"/>
      <c r="B170" s="12"/>
      <c r="C170" s="12"/>
      <c r="D170" s="12"/>
      <c r="E170" s="12"/>
      <c r="F170" s="12"/>
      <c r="G170" s="12"/>
      <c r="H170" s="12"/>
      <c r="I170" s="125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12"/>
      <c r="B171" s="12"/>
      <c r="C171" s="12"/>
      <c r="D171" s="12"/>
      <c r="E171" s="12"/>
      <c r="F171" s="12"/>
      <c r="G171" s="12"/>
      <c r="H171" s="12"/>
      <c r="I171" s="125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12"/>
      <c r="B172" s="12"/>
      <c r="C172" s="12"/>
      <c r="D172" s="12"/>
      <c r="E172" s="12"/>
      <c r="F172" s="12"/>
      <c r="G172" s="12"/>
      <c r="H172" s="12"/>
      <c r="I172" s="125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12"/>
      <c r="B173" s="12"/>
      <c r="C173" s="12"/>
      <c r="D173" s="12"/>
      <c r="E173" s="12"/>
      <c r="F173" s="12"/>
      <c r="G173" s="12"/>
      <c r="H173" s="12"/>
      <c r="I173" s="125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2"/>
      <c r="B174" s="12"/>
      <c r="C174" s="12"/>
      <c r="D174" s="12"/>
      <c r="E174" s="12"/>
      <c r="F174" s="12"/>
      <c r="G174" s="12"/>
      <c r="H174" s="12"/>
      <c r="I174" s="125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2"/>
      <c r="B175" s="12"/>
      <c r="C175" s="12"/>
      <c r="D175" s="12"/>
      <c r="E175" s="12"/>
      <c r="F175" s="12"/>
      <c r="G175" s="12"/>
      <c r="H175" s="12"/>
      <c r="I175" s="125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2"/>
      <c r="B176" s="12"/>
      <c r="C176" s="12"/>
      <c r="D176" s="12"/>
      <c r="E176" s="12"/>
      <c r="F176" s="12"/>
      <c r="G176" s="12"/>
      <c r="H176" s="12"/>
      <c r="I176" s="125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2"/>
      <c r="B177" s="12"/>
      <c r="C177" s="12"/>
      <c r="D177" s="12"/>
      <c r="E177" s="12"/>
      <c r="F177" s="12"/>
      <c r="G177" s="12"/>
      <c r="H177" s="12"/>
      <c r="I177" s="125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2"/>
      <c r="B178" s="12"/>
      <c r="C178" s="12"/>
      <c r="D178" s="12"/>
      <c r="E178" s="12"/>
      <c r="F178" s="12"/>
      <c r="G178" s="12"/>
      <c r="H178" s="12"/>
      <c r="I178" s="125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12"/>
      <c r="B179" s="12"/>
      <c r="C179" s="12"/>
      <c r="D179" s="12"/>
      <c r="E179" s="12"/>
      <c r="F179" s="12"/>
      <c r="G179" s="12"/>
      <c r="H179" s="12"/>
      <c r="I179" s="125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12"/>
      <c r="B180" s="12"/>
      <c r="C180" s="12"/>
      <c r="D180" s="12"/>
      <c r="E180" s="12"/>
      <c r="F180" s="12"/>
      <c r="G180" s="12"/>
      <c r="H180" s="12"/>
      <c r="I180" s="125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12"/>
      <c r="B181" s="12"/>
      <c r="C181" s="12"/>
      <c r="D181" s="12"/>
      <c r="E181" s="12"/>
      <c r="F181" s="12"/>
      <c r="G181" s="12"/>
      <c r="H181" s="12"/>
      <c r="I181" s="125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2"/>
      <c r="B182" s="12"/>
      <c r="C182" s="12"/>
      <c r="D182" s="12"/>
      <c r="E182" s="12"/>
      <c r="F182" s="12"/>
      <c r="G182" s="12"/>
      <c r="H182" s="12"/>
      <c r="I182" s="125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2"/>
      <c r="B183" s="12"/>
      <c r="C183" s="12"/>
      <c r="D183" s="12"/>
      <c r="E183" s="12"/>
      <c r="F183" s="12"/>
      <c r="G183" s="12"/>
      <c r="H183" s="12"/>
      <c r="I183" s="125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2"/>
      <c r="B184" s="12"/>
      <c r="C184" s="12"/>
      <c r="D184" s="12"/>
      <c r="E184" s="12"/>
      <c r="F184" s="12"/>
      <c r="G184" s="12"/>
      <c r="H184" s="12"/>
      <c r="I184" s="125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2"/>
      <c r="B185" s="12"/>
      <c r="C185" s="12"/>
      <c r="D185" s="12"/>
      <c r="E185" s="12"/>
      <c r="F185" s="12"/>
      <c r="G185" s="12"/>
      <c r="H185" s="12"/>
      <c r="I185" s="125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2"/>
      <c r="B186" s="12"/>
      <c r="C186" s="12"/>
      <c r="D186" s="12"/>
      <c r="E186" s="12"/>
      <c r="F186" s="12"/>
      <c r="G186" s="12"/>
      <c r="H186" s="12"/>
      <c r="I186" s="125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2"/>
      <c r="B187" s="12"/>
      <c r="C187" s="12"/>
      <c r="D187" s="12"/>
      <c r="E187" s="12"/>
      <c r="F187" s="12"/>
      <c r="G187" s="12"/>
      <c r="H187" s="12"/>
      <c r="I187" s="125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2"/>
      <c r="B188" s="12"/>
      <c r="C188" s="12"/>
      <c r="D188" s="12"/>
      <c r="E188" s="12"/>
      <c r="F188" s="12"/>
      <c r="G188" s="12"/>
      <c r="H188" s="12"/>
      <c r="I188" s="125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2"/>
      <c r="B189" s="12"/>
      <c r="C189" s="12"/>
      <c r="D189" s="12"/>
      <c r="E189" s="12"/>
      <c r="F189" s="12"/>
      <c r="G189" s="12"/>
      <c r="H189" s="12"/>
      <c r="I189" s="125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2"/>
      <c r="B190" s="12"/>
      <c r="C190" s="12"/>
      <c r="D190" s="12"/>
      <c r="E190" s="12"/>
      <c r="F190" s="12"/>
      <c r="G190" s="12"/>
      <c r="H190" s="12"/>
      <c r="I190" s="125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2"/>
      <c r="B191" s="12"/>
      <c r="C191" s="12"/>
      <c r="D191" s="12"/>
      <c r="E191" s="12"/>
      <c r="F191" s="12"/>
      <c r="G191" s="12"/>
      <c r="H191" s="12"/>
      <c r="I191" s="125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2"/>
      <c r="B192" s="12"/>
      <c r="C192" s="12"/>
      <c r="D192" s="12"/>
      <c r="E192" s="12"/>
      <c r="F192" s="12"/>
      <c r="G192" s="12"/>
      <c r="H192" s="12"/>
      <c r="I192" s="125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2"/>
      <c r="B193" s="12"/>
      <c r="C193" s="12"/>
      <c r="D193" s="12"/>
      <c r="E193" s="12"/>
      <c r="F193" s="12"/>
      <c r="G193" s="12"/>
      <c r="H193" s="12"/>
      <c r="I193" s="125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2"/>
      <c r="B194" s="12"/>
      <c r="C194" s="12"/>
      <c r="D194" s="12"/>
      <c r="E194" s="12"/>
      <c r="F194" s="12"/>
      <c r="G194" s="12"/>
      <c r="H194" s="12"/>
      <c r="I194" s="125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12"/>
      <c r="B195" s="12"/>
      <c r="C195" s="12"/>
      <c r="D195" s="12"/>
      <c r="E195" s="12"/>
      <c r="F195" s="12"/>
      <c r="G195" s="12"/>
      <c r="H195" s="12"/>
      <c r="I195" s="125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2"/>
      <c r="B196" s="12"/>
      <c r="C196" s="12"/>
      <c r="D196" s="12"/>
      <c r="E196" s="12"/>
      <c r="F196" s="12"/>
      <c r="G196" s="12"/>
      <c r="H196" s="12"/>
      <c r="I196" s="125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2"/>
      <c r="B197" s="12"/>
      <c r="C197" s="12"/>
      <c r="D197" s="12"/>
      <c r="E197" s="12"/>
      <c r="F197" s="12"/>
      <c r="G197" s="12"/>
      <c r="H197" s="12"/>
      <c r="I197" s="125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2"/>
      <c r="B198" s="12"/>
      <c r="C198" s="12"/>
      <c r="D198" s="12"/>
      <c r="E198" s="12"/>
      <c r="F198" s="12"/>
      <c r="G198" s="12"/>
      <c r="H198" s="12"/>
      <c r="I198" s="125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2"/>
      <c r="B199" s="12"/>
      <c r="C199" s="12"/>
      <c r="D199" s="12"/>
      <c r="E199" s="12"/>
      <c r="F199" s="12"/>
      <c r="G199" s="12"/>
      <c r="H199" s="12"/>
      <c r="I199" s="125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2"/>
      <c r="B200" s="12"/>
      <c r="C200" s="12"/>
      <c r="D200" s="12"/>
      <c r="E200" s="12"/>
      <c r="F200" s="12"/>
      <c r="G200" s="12"/>
      <c r="H200" s="12"/>
      <c r="I200" s="125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12"/>
      <c r="B201" s="12"/>
      <c r="C201" s="12"/>
      <c r="D201" s="12"/>
      <c r="E201" s="12"/>
      <c r="F201" s="12"/>
      <c r="G201" s="12"/>
      <c r="H201" s="12"/>
      <c r="I201" s="125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12"/>
      <c r="B202" s="12"/>
      <c r="C202" s="12"/>
      <c r="D202" s="12"/>
      <c r="E202" s="12"/>
      <c r="F202" s="12"/>
      <c r="G202" s="12"/>
      <c r="H202" s="12"/>
      <c r="I202" s="125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12"/>
      <c r="B203" s="12"/>
      <c r="C203" s="12"/>
      <c r="D203" s="12"/>
      <c r="E203" s="12"/>
      <c r="F203" s="12"/>
      <c r="G203" s="12"/>
      <c r="H203" s="12"/>
      <c r="I203" s="125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12"/>
      <c r="B204" s="12"/>
      <c r="C204" s="12"/>
      <c r="D204" s="12"/>
      <c r="E204" s="12"/>
      <c r="F204" s="12"/>
      <c r="G204" s="12"/>
      <c r="H204" s="12"/>
      <c r="I204" s="125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2"/>
      <c r="B205" s="12"/>
      <c r="C205" s="12"/>
      <c r="D205" s="12"/>
      <c r="E205" s="12"/>
      <c r="F205" s="12"/>
      <c r="G205" s="12"/>
      <c r="H205" s="12"/>
      <c r="I205" s="125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2"/>
      <c r="B206" s="12"/>
      <c r="C206" s="12"/>
      <c r="D206" s="12"/>
      <c r="E206" s="12"/>
      <c r="F206" s="12"/>
      <c r="G206" s="12"/>
      <c r="H206" s="12"/>
      <c r="I206" s="125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2"/>
      <c r="B207" s="12"/>
      <c r="C207" s="12"/>
      <c r="D207" s="12"/>
      <c r="E207" s="12"/>
      <c r="F207" s="12"/>
      <c r="G207" s="12"/>
      <c r="H207" s="12"/>
      <c r="I207" s="125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2"/>
      <c r="B208" s="12"/>
      <c r="C208" s="12"/>
      <c r="D208" s="12"/>
      <c r="E208" s="12"/>
      <c r="F208" s="12"/>
      <c r="G208" s="12"/>
      <c r="H208" s="12"/>
      <c r="I208" s="125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2"/>
      <c r="B209" s="12"/>
      <c r="C209" s="12"/>
      <c r="D209" s="12"/>
      <c r="E209" s="12"/>
      <c r="F209" s="12"/>
      <c r="G209" s="12"/>
      <c r="H209" s="12"/>
      <c r="I209" s="125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2"/>
      <c r="B210" s="12"/>
      <c r="C210" s="12"/>
      <c r="D210" s="12"/>
      <c r="E210" s="12"/>
      <c r="F210" s="12"/>
      <c r="G210" s="12"/>
      <c r="H210" s="12"/>
      <c r="I210" s="125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2"/>
      <c r="B211" s="12"/>
      <c r="C211" s="12"/>
      <c r="D211" s="12"/>
      <c r="E211" s="12"/>
      <c r="F211" s="12"/>
      <c r="G211" s="12"/>
      <c r="H211" s="12"/>
      <c r="I211" s="125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2"/>
      <c r="B212" s="12"/>
      <c r="C212" s="12"/>
      <c r="D212" s="12"/>
      <c r="E212" s="12"/>
      <c r="F212" s="12"/>
      <c r="G212" s="12"/>
      <c r="H212" s="12"/>
      <c r="I212" s="125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12"/>
      <c r="B213" s="12"/>
      <c r="C213" s="12"/>
      <c r="D213" s="12"/>
      <c r="E213" s="12"/>
      <c r="F213" s="12"/>
      <c r="G213" s="12"/>
      <c r="H213" s="12"/>
      <c r="I213" s="125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12"/>
      <c r="B214" s="12"/>
      <c r="C214" s="12"/>
      <c r="D214" s="12"/>
      <c r="E214" s="12"/>
      <c r="F214" s="12"/>
      <c r="G214" s="12"/>
      <c r="H214" s="12"/>
      <c r="I214" s="125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12"/>
      <c r="B215" s="12"/>
      <c r="C215" s="12"/>
      <c r="D215" s="12"/>
      <c r="E215" s="12"/>
      <c r="F215" s="12"/>
      <c r="G215" s="12"/>
      <c r="H215" s="12"/>
      <c r="I215" s="125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12"/>
      <c r="B216" s="12"/>
      <c r="C216" s="12"/>
      <c r="D216" s="12"/>
      <c r="E216" s="12"/>
      <c r="F216" s="12"/>
      <c r="G216" s="12"/>
      <c r="H216" s="12"/>
      <c r="I216" s="125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12"/>
      <c r="B217" s="12"/>
      <c r="C217" s="12"/>
      <c r="D217" s="12"/>
      <c r="E217" s="12"/>
      <c r="F217" s="12"/>
      <c r="G217" s="12"/>
      <c r="H217" s="12"/>
      <c r="I217" s="125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12"/>
      <c r="B218" s="12"/>
      <c r="C218" s="12"/>
      <c r="D218" s="12"/>
      <c r="E218" s="12"/>
      <c r="F218" s="12"/>
      <c r="G218" s="12"/>
      <c r="H218" s="12"/>
      <c r="I218" s="125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12"/>
      <c r="B219" s="12"/>
      <c r="C219" s="12"/>
      <c r="D219" s="12"/>
      <c r="E219" s="12"/>
      <c r="F219" s="12"/>
      <c r="G219" s="12"/>
      <c r="H219" s="12"/>
      <c r="I219" s="125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12"/>
      <c r="B220" s="12"/>
      <c r="C220" s="12"/>
      <c r="D220" s="12"/>
      <c r="E220" s="12"/>
      <c r="F220" s="12"/>
      <c r="G220" s="12"/>
      <c r="H220" s="12"/>
      <c r="I220" s="125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>
      <c r="A221" s="12"/>
      <c r="B221" s="12"/>
      <c r="C221" s="12"/>
      <c r="D221" s="12"/>
      <c r="E221" s="12"/>
      <c r="F221" s="12"/>
      <c r="G221" s="12"/>
      <c r="H221" s="12"/>
      <c r="I221" s="125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75" customHeight="1">
      <c r="A222" s="12"/>
      <c r="B222" s="12"/>
      <c r="C222" s="12"/>
      <c r="D222" s="12"/>
      <c r="E222" s="12"/>
      <c r="F222" s="12"/>
      <c r="G222" s="12"/>
      <c r="H222" s="12"/>
      <c r="I222" s="125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5">
    <mergeCell ref="B2:F2"/>
    <mergeCell ref="B3:F3"/>
    <mergeCell ref="B4:F4"/>
    <mergeCell ref="E5:F5"/>
    <mergeCell ref="E6:F6"/>
  </mergeCells>
  <dataValidations>
    <dataValidation type="list" allowBlank="1" showInputMessage="1" showErrorMessage="1" prompt=" - " sqref="F1 F7:F146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1.75"/>
    <col customWidth="1" min="2" max="2" width="19.13"/>
    <col customWidth="1" min="3" max="3" width="32.13"/>
    <col customWidth="1" min="4" max="4" width="28.5"/>
    <col customWidth="1" min="5" max="5" width="15.0"/>
    <col customWidth="1" min="6" max="6" width="12.5"/>
    <col customWidth="1" min="7" max="7" width="11.75"/>
    <col customWidth="1" min="8" max="8" width="31.88"/>
    <col customWidth="1" min="9" max="9" width="8.25"/>
    <col customWidth="1" hidden="1" min="10" max="10" width="8.0"/>
    <col customWidth="1" min="11" max="26" width="8.0"/>
  </cols>
  <sheetData>
    <row r="1" ht="12.75" customHeight="1">
      <c r="A1" s="78"/>
      <c r="B1" s="79"/>
      <c r="C1" s="79"/>
      <c r="D1" s="79"/>
      <c r="E1" s="79"/>
      <c r="F1" s="80"/>
      <c r="G1" s="81"/>
      <c r="H1" s="52"/>
      <c r="I1" s="82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5.0" customHeight="1">
      <c r="A2" s="84" t="s">
        <v>41</v>
      </c>
      <c r="B2" s="85" t="s">
        <v>85</v>
      </c>
      <c r="C2" s="7"/>
      <c r="D2" s="7"/>
      <c r="E2" s="7"/>
      <c r="F2" s="86"/>
      <c r="G2" s="52"/>
      <c r="H2" s="52"/>
      <c r="I2" s="82"/>
      <c r="J2" s="83" t="s">
        <v>43</v>
      </c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25.5" customHeight="1">
      <c r="A3" s="87" t="s">
        <v>44</v>
      </c>
      <c r="B3" s="85" t="s">
        <v>45</v>
      </c>
      <c r="C3" s="7"/>
      <c r="D3" s="7"/>
      <c r="E3" s="7"/>
      <c r="F3" s="86"/>
      <c r="G3" s="52"/>
      <c r="H3" s="52"/>
      <c r="I3" s="82"/>
      <c r="J3" s="83" t="s">
        <v>46</v>
      </c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8.0" customHeight="1">
      <c r="A4" s="84" t="s">
        <v>47</v>
      </c>
      <c r="B4" s="88"/>
      <c r="C4" s="89"/>
      <c r="D4" s="89"/>
      <c r="E4" s="89"/>
      <c r="F4" s="90"/>
      <c r="G4" s="52"/>
      <c r="H4" s="52"/>
      <c r="I4" s="82"/>
      <c r="J4" s="91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19.5" customHeight="1">
      <c r="A5" s="92" t="s">
        <v>43</v>
      </c>
      <c r="B5" s="93" t="s">
        <v>46</v>
      </c>
      <c r="C5" s="93" t="s">
        <v>48</v>
      </c>
      <c r="D5" s="94" t="s">
        <v>49</v>
      </c>
      <c r="E5" s="95" t="s">
        <v>50</v>
      </c>
      <c r="F5" s="86"/>
      <c r="G5" s="96"/>
      <c r="H5" s="96"/>
      <c r="I5" s="97"/>
      <c r="J5" s="83" t="s">
        <v>51</v>
      </c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15.0" customHeight="1">
      <c r="A6" s="126">
        <f>COUNTIF(F9:F990,"Pass")</f>
        <v>0</v>
      </c>
      <c r="B6" s="99">
        <f>COUNTIF(F9:F990,"Fail")</f>
        <v>0</v>
      </c>
      <c r="C6" s="99">
        <f>E6-D6-B6-A6</f>
        <v>7</v>
      </c>
      <c r="D6" s="100">
        <f>COUNTIF(F$9:F$990,"N/A")</f>
        <v>0</v>
      </c>
      <c r="E6" s="101">
        <f>COUNTA(A9:A990)</f>
        <v>7</v>
      </c>
      <c r="F6" s="102"/>
      <c r="G6" s="96"/>
      <c r="H6" s="96"/>
      <c r="I6" s="97"/>
      <c r="J6" s="83" t="s">
        <v>49</v>
      </c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15.0" customHeight="1">
      <c r="A7" s="83"/>
      <c r="B7" s="83"/>
      <c r="C7" s="83"/>
      <c r="D7" s="103"/>
      <c r="E7" s="103"/>
      <c r="F7" s="96"/>
      <c r="G7" s="96"/>
      <c r="H7" s="96"/>
      <c r="I7" s="97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25.5" customHeight="1">
      <c r="A8" s="104" t="s">
        <v>52</v>
      </c>
      <c r="B8" s="104" t="s">
        <v>53</v>
      </c>
      <c r="C8" s="104" t="s">
        <v>54</v>
      </c>
      <c r="D8" s="104" t="s">
        <v>55</v>
      </c>
      <c r="E8" s="127" t="s">
        <v>86</v>
      </c>
      <c r="F8" s="127" t="s">
        <v>57</v>
      </c>
      <c r="G8" s="127" t="s">
        <v>86</v>
      </c>
      <c r="H8" s="104" t="s">
        <v>31</v>
      </c>
      <c r="I8" s="106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>
      <c r="A9" s="128" t="s">
        <v>87</v>
      </c>
      <c r="B9" s="128" t="s">
        <v>88</v>
      </c>
      <c r="C9" s="128" t="s">
        <v>89</v>
      </c>
      <c r="D9" s="129" t="s">
        <v>90</v>
      </c>
      <c r="E9" s="130" t="s">
        <v>91</v>
      </c>
      <c r="F9" s="123"/>
      <c r="G9" s="130" t="s">
        <v>91</v>
      </c>
      <c r="H9" s="131" t="s">
        <v>92</v>
      </c>
      <c r="I9" s="13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1" t="s">
        <v>93</v>
      </c>
      <c r="B10" s="131" t="s">
        <v>94</v>
      </c>
      <c r="C10" s="131" t="s">
        <v>95</v>
      </c>
      <c r="D10" s="129" t="s">
        <v>96</v>
      </c>
      <c r="E10" s="133" t="s">
        <v>97</v>
      </c>
      <c r="F10" s="123"/>
      <c r="G10" s="133" t="s">
        <v>97</v>
      </c>
      <c r="H10" s="131" t="s">
        <v>98</v>
      </c>
      <c r="I10" s="13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1" t="s">
        <v>99</v>
      </c>
      <c r="B11" s="131" t="s">
        <v>100</v>
      </c>
      <c r="C11" s="131" t="s">
        <v>101</v>
      </c>
      <c r="D11" s="129" t="s">
        <v>102</v>
      </c>
      <c r="E11" s="133" t="s">
        <v>103</v>
      </c>
      <c r="F11" s="123"/>
      <c r="G11" s="133" t="s">
        <v>103</v>
      </c>
      <c r="H11" s="131" t="s">
        <v>104</v>
      </c>
      <c r="I11" s="13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31" t="s">
        <v>105</v>
      </c>
      <c r="B12" s="131" t="s">
        <v>106</v>
      </c>
      <c r="C12" s="131" t="s">
        <v>107</v>
      </c>
      <c r="D12" s="129" t="s">
        <v>108</v>
      </c>
      <c r="E12" s="133" t="s">
        <v>109</v>
      </c>
      <c r="F12" s="123"/>
      <c r="G12" s="133" t="s">
        <v>109</v>
      </c>
      <c r="H12" s="131" t="s">
        <v>110</v>
      </c>
      <c r="I12" s="13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31" t="s">
        <v>111</v>
      </c>
      <c r="B13" s="131" t="s">
        <v>112</v>
      </c>
      <c r="C13" s="131" t="s">
        <v>89</v>
      </c>
      <c r="D13" s="129" t="s">
        <v>90</v>
      </c>
      <c r="E13" s="133" t="s">
        <v>113</v>
      </c>
      <c r="F13" s="123"/>
      <c r="G13" s="133" t="s">
        <v>113</v>
      </c>
      <c r="H13" s="131" t="s">
        <v>92</v>
      </c>
      <c r="I13" s="13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31" t="s">
        <v>114</v>
      </c>
      <c r="B14" s="131" t="s">
        <v>115</v>
      </c>
      <c r="C14" s="131" t="s">
        <v>89</v>
      </c>
      <c r="D14" s="129" t="s">
        <v>116</v>
      </c>
      <c r="E14" s="133" t="s">
        <v>117</v>
      </c>
      <c r="F14" s="123"/>
      <c r="G14" s="133" t="s">
        <v>117</v>
      </c>
      <c r="H14" s="129" t="s">
        <v>118</v>
      </c>
      <c r="I14" s="13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31" t="s">
        <v>119</v>
      </c>
      <c r="B15" s="131" t="s">
        <v>120</v>
      </c>
      <c r="C15" s="131" t="s">
        <v>89</v>
      </c>
      <c r="D15" s="129" t="s">
        <v>121</v>
      </c>
      <c r="E15" s="133" t="s">
        <v>122</v>
      </c>
      <c r="F15" s="123"/>
      <c r="G15" s="133" t="s">
        <v>122</v>
      </c>
      <c r="H15" s="129" t="s">
        <v>123</v>
      </c>
      <c r="I15" s="13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A16" s="12"/>
      <c r="B16" s="12"/>
      <c r="C16" s="12"/>
      <c r="D16" s="12"/>
      <c r="E16" s="12"/>
      <c r="F16" s="12"/>
      <c r="G16" s="12"/>
      <c r="H16" s="12"/>
      <c r="I16" s="125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A17" s="12"/>
      <c r="B17" s="12"/>
      <c r="C17" s="12"/>
      <c r="D17" s="12"/>
      <c r="E17" s="12"/>
      <c r="F17" s="12"/>
      <c r="G17" s="12"/>
      <c r="H17" s="12"/>
      <c r="I17" s="125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12"/>
      <c r="B18" s="12"/>
      <c r="C18" s="12"/>
      <c r="D18" s="12"/>
      <c r="E18" s="12"/>
      <c r="F18" s="12"/>
      <c r="G18" s="12"/>
      <c r="H18" s="12"/>
      <c r="I18" s="125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12"/>
      <c r="B19" s="12"/>
      <c r="C19" s="12"/>
      <c r="D19" s="12"/>
      <c r="E19" s="12"/>
      <c r="F19" s="12"/>
      <c r="G19" s="12"/>
      <c r="H19" s="12"/>
      <c r="I19" s="125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12"/>
      <c r="B20" s="12"/>
      <c r="C20" s="12"/>
      <c r="D20" s="12"/>
      <c r="E20" s="12"/>
      <c r="F20" s="12"/>
      <c r="G20" s="12"/>
      <c r="H20" s="12"/>
      <c r="I20" s="125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12"/>
      <c r="B21" s="12"/>
      <c r="C21" s="12"/>
      <c r="D21" s="12"/>
      <c r="E21" s="12"/>
      <c r="F21" s="12"/>
      <c r="G21" s="12"/>
      <c r="H21" s="12"/>
      <c r="I21" s="125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12"/>
      <c r="B22" s="12"/>
      <c r="C22" s="12"/>
      <c r="D22" s="12"/>
      <c r="E22" s="12"/>
      <c r="F22" s="12"/>
      <c r="G22" s="12"/>
      <c r="H22" s="12"/>
      <c r="I22" s="125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12"/>
      <c r="B23" s="12"/>
      <c r="C23" s="12"/>
      <c r="D23" s="12"/>
      <c r="E23" s="12"/>
      <c r="F23" s="12"/>
      <c r="G23" s="12"/>
      <c r="H23" s="12"/>
      <c r="I23" s="125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12"/>
      <c r="B24" s="12"/>
      <c r="C24" s="12"/>
      <c r="D24" s="12"/>
      <c r="E24" s="12"/>
      <c r="F24" s="12"/>
      <c r="G24" s="12"/>
      <c r="H24" s="12"/>
      <c r="I24" s="125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12"/>
      <c r="B25" s="12"/>
      <c r="C25" s="12"/>
      <c r="D25" s="12"/>
      <c r="E25" s="12"/>
      <c r="F25" s="12"/>
      <c r="G25" s="12"/>
      <c r="H25" s="12"/>
      <c r="I25" s="125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12"/>
      <c r="B26" s="12"/>
      <c r="C26" s="12"/>
      <c r="D26" s="12"/>
      <c r="E26" s="12"/>
      <c r="F26" s="12"/>
      <c r="G26" s="12"/>
      <c r="H26" s="12"/>
      <c r="I26" s="125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12"/>
      <c r="B27" s="12"/>
      <c r="C27" s="12"/>
      <c r="D27" s="12"/>
      <c r="E27" s="12"/>
      <c r="F27" s="12"/>
      <c r="G27" s="12"/>
      <c r="H27" s="12"/>
      <c r="I27" s="125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12"/>
      <c r="B28" s="12"/>
      <c r="C28" s="12"/>
      <c r="D28" s="12"/>
      <c r="E28" s="12"/>
      <c r="F28" s="12"/>
      <c r="G28" s="12"/>
      <c r="H28" s="12"/>
      <c r="I28" s="125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12"/>
      <c r="B29" s="12"/>
      <c r="C29" s="12"/>
      <c r="D29" s="12"/>
      <c r="E29" s="12"/>
      <c r="F29" s="12"/>
      <c r="G29" s="12"/>
      <c r="H29" s="12"/>
      <c r="I29" s="125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12"/>
      <c r="B30" s="12"/>
      <c r="C30" s="12"/>
      <c r="D30" s="12"/>
      <c r="E30" s="12"/>
      <c r="F30" s="12"/>
      <c r="G30" s="12"/>
      <c r="H30" s="12"/>
      <c r="I30" s="125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12"/>
      <c r="B31" s="12"/>
      <c r="C31" s="12"/>
      <c r="D31" s="12"/>
      <c r="E31" s="12"/>
      <c r="F31" s="12"/>
      <c r="G31" s="12"/>
      <c r="H31" s="12"/>
      <c r="I31" s="125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12"/>
      <c r="B32" s="12"/>
      <c r="C32" s="12"/>
      <c r="D32" s="12"/>
      <c r="E32" s="12"/>
      <c r="F32" s="12"/>
      <c r="G32" s="12"/>
      <c r="H32" s="12"/>
      <c r="I32" s="125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12"/>
      <c r="B33" s="12"/>
      <c r="C33" s="12"/>
      <c r="D33" s="12"/>
      <c r="E33" s="12"/>
      <c r="F33" s="12"/>
      <c r="G33" s="12"/>
      <c r="H33" s="12"/>
      <c r="I33" s="125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12"/>
      <c r="B34" s="12"/>
      <c r="C34" s="12"/>
      <c r="D34" s="12"/>
      <c r="E34" s="12"/>
      <c r="F34" s="12"/>
      <c r="G34" s="12"/>
      <c r="H34" s="12"/>
      <c r="I34" s="125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2"/>
      <c r="B35" s="12"/>
      <c r="C35" s="12"/>
      <c r="D35" s="12"/>
      <c r="E35" s="12"/>
      <c r="F35" s="12"/>
      <c r="G35" s="12"/>
      <c r="H35" s="12"/>
      <c r="I35" s="125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12"/>
      <c r="B36" s="12"/>
      <c r="C36" s="12"/>
      <c r="D36" s="12"/>
      <c r="E36" s="12"/>
      <c r="F36" s="12"/>
      <c r="G36" s="12"/>
      <c r="H36" s="12"/>
      <c r="I36" s="125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12"/>
      <c r="B37" s="12"/>
      <c r="C37" s="12"/>
      <c r="D37" s="12"/>
      <c r="E37" s="12"/>
      <c r="F37" s="12"/>
      <c r="G37" s="12"/>
      <c r="H37" s="12"/>
      <c r="I37" s="125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12"/>
      <c r="B38" s="12"/>
      <c r="C38" s="12"/>
      <c r="D38" s="12"/>
      <c r="E38" s="12"/>
      <c r="F38" s="12"/>
      <c r="G38" s="12"/>
      <c r="H38" s="12"/>
      <c r="I38" s="125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12"/>
      <c r="B39" s="12"/>
      <c r="C39" s="12"/>
      <c r="D39" s="12"/>
      <c r="E39" s="12"/>
      <c r="F39" s="12"/>
      <c r="G39" s="12"/>
      <c r="H39" s="12"/>
      <c r="I39" s="125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12"/>
      <c r="B40" s="12"/>
      <c r="C40" s="12"/>
      <c r="D40" s="12"/>
      <c r="E40" s="12"/>
      <c r="F40" s="12"/>
      <c r="G40" s="12"/>
      <c r="H40" s="12"/>
      <c r="I40" s="125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12"/>
      <c r="B41" s="12"/>
      <c r="C41" s="12"/>
      <c r="D41" s="12"/>
      <c r="E41" s="12"/>
      <c r="F41" s="12"/>
      <c r="G41" s="12"/>
      <c r="H41" s="12"/>
      <c r="I41" s="125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12"/>
      <c r="B42" s="12"/>
      <c r="C42" s="12"/>
      <c r="D42" s="12"/>
      <c r="E42" s="12"/>
      <c r="F42" s="12"/>
      <c r="G42" s="12"/>
      <c r="H42" s="12"/>
      <c r="I42" s="125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12"/>
      <c r="B43" s="12"/>
      <c r="C43" s="12"/>
      <c r="D43" s="12"/>
      <c r="E43" s="12"/>
      <c r="F43" s="12"/>
      <c r="G43" s="12"/>
      <c r="H43" s="12"/>
      <c r="I43" s="125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12"/>
      <c r="B44" s="12"/>
      <c r="C44" s="12"/>
      <c r="D44" s="12"/>
      <c r="E44" s="12"/>
      <c r="F44" s="12"/>
      <c r="G44" s="12"/>
      <c r="H44" s="12"/>
      <c r="I44" s="125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12"/>
      <c r="B45" s="12"/>
      <c r="C45" s="12"/>
      <c r="D45" s="12"/>
      <c r="E45" s="12"/>
      <c r="F45" s="12"/>
      <c r="G45" s="12"/>
      <c r="H45" s="12"/>
      <c r="I45" s="125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12"/>
      <c r="B46" s="12"/>
      <c r="C46" s="12"/>
      <c r="D46" s="12"/>
      <c r="E46" s="12"/>
      <c r="F46" s="12"/>
      <c r="G46" s="12"/>
      <c r="H46" s="12"/>
      <c r="I46" s="125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12"/>
      <c r="B47" s="12"/>
      <c r="C47" s="12"/>
      <c r="D47" s="12"/>
      <c r="E47" s="12"/>
      <c r="F47" s="12"/>
      <c r="G47" s="12"/>
      <c r="H47" s="12"/>
      <c r="I47" s="125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12"/>
      <c r="B48" s="12"/>
      <c r="C48" s="12"/>
      <c r="D48" s="12"/>
      <c r="E48" s="12"/>
      <c r="F48" s="12"/>
      <c r="G48" s="12"/>
      <c r="H48" s="12"/>
      <c r="I48" s="125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12"/>
      <c r="B49" s="12"/>
      <c r="C49" s="12"/>
      <c r="D49" s="12"/>
      <c r="E49" s="12"/>
      <c r="F49" s="12"/>
      <c r="G49" s="12"/>
      <c r="H49" s="12"/>
      <c r="I49" s="125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12"/>
      <c r="B50" s="12"/>
      <c r="C50" s="12"/>
      <c r="D50" s="12"/>
      <c r="E50" s="12"/>
      <c r="F50" s="12"/>
      <c r="G50" s="12"/>
      <c r="H50" s="12"/>
      <c r="I50" s="125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12"/>
      <c r="B51" s="12"/>
      <c r="C51" s="12"/>
      <c r="D51" s="12"/>
      <c r="E51" s="12"/>
      <c r="F51" s="12"/>
      <c r="G51" s="12"/>
      <c r="H51" s="12"/>
      <c r="I51" s="125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12"/>
      <c r="B52" s="12"/>
      <c r="C52" s="12"/>
      <c r="D52" s="12"/>
      <c r="E52" s="12"/>
      <c r="F52" s="12"/>
      <c r="G52" s="12"/>
      <c r="H52" s="12"/>
      <c r="I52" s="125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12"/>
      <c r="B53" s="12"/>
      <c r="C53" s="12"/>
      <c r="D53" s="12"/>
      <c r="E53" s="12"/>
      <c r="F53" s="12"/>
      <c r="G53" s="12"/>
      <c r="H53" s="12"/>
      <c r="I53" s="125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12"/>
      <c r="B54" s="12"/>
      <c r="C54" s="12"/>
      <c r="D54" s="12"/>
      <c r="E54" s="12"/>
      <c r="F54" s="12"/>
      <c r="G54" s="12"/>
      <c r="H54" s="12"/>
      <c r="I54" s="125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12"/>
      <c r="B55" s="12"/>
      <c r="C55" s="12"/>
      <c r="D55" s="12"/>
      <c r="E55" s="12"/>
      <c r="F55" s="12"/>
      <c r="G55" s="12"/>
      <c r="H55" s="12"/>
      <c r="I55" s="125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12"/>
      <c r="B56" s="12"/>
      <c r="C56" s="12"/>
      <c r="D56" s="12"/>
      <c r="E56" s="12"/>
      <c r="F56" s="12"/>
      <c r="G56" s="12"/>
      <c r="H56" s="12"/>
      <c r="I56" s="125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12"/>
      <c r="B57" s="12"/>
      <c r="C57" s="12"/>
      <c r="D57" s="12"/>
      <c r="E57" s="12"/>
      <c r="F57" s="12"/>
      <c r="G57" s="12"/>
      <c r="H57" s="12"/>
      <c r="I57" s="125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12"/>
      <c r="B58" s="12"/>
      <c r="C58" s="12"/>
      <c r="D58" s="12"/>
      <c r="E58" s="12"/>
      <c r="F58" s="12"/>
      <c r="G58" s="12"/>
      <c r="H58" s="12"/>
      <c r="I58" s="125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12"/>
      <c r="B59" s="12"/>
      <c r="C59" s="12"/>
      <c r="D59" s="12"/>
      <c r="E59" s="12"/>
      <c r="F59" s="12"/>
      <c r="G59" s="12"/>
      <c r="H59" s="12"/>
      <c r="I59" s="125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12"/>
      <c r="B60" s="12"/>
      <c r="C60" s="12"/>
      <c r="D60" s="12"/>
      <c r="E60" s="12"/>
      <c r="F60" s="12"/>
      <c r="G60" s="12"/>
      <c r="H60" s="12"/>
      <c r="I60" s="125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12"/>
      <c r="B61" s="12"/>
      <c r="C61" s="12"/>
      <c r="D61" s="12"/>
      <c r="E61" s="12"/>
      <c r="F61" s="12"/>
      <c r="G61" s="12"/>
      <c r="H61" s="12"/>
      <c r="I61" s="125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12"/>
      <c r="B62" s="12"/>
      <c r="C62" s="12"/>
      <c r="D62" s="12"/>
      <c r="E62" s="12"/>
      <c r="F62" s="12"/>
      <c r="G62" s="12"/>
      <c r="H62" s="12"/>
      <c r="I62" s="125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2"/>
      <c r="B63" s="12"/>
      <c r="C63" s="12"/>
      <c r="D63" s="12"/>
      <c r="E63" s="12"/>
      <c r="F63" s="12"/>
      <c r="G63" s="12"/>
      <c r="H63" s="12"/>
      <c r="I63" s="125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12"/>
      <c r="B64" s="12"/>
      <c r="C64" s="12"/>
      <c r="D64" s="12"/>
      <c r="E64" s="12"/>
      <c r="F64" s="12"/>
      <c r="G64" s="12"/>
      <c r="H64" s="12"/>
      <c r="I64" s="125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2"/>
      <c r="B65" s="12"/>
      <c r="C65" s="12"/>
      <c r="D65" s="12"/>
      <c r="E65" s="12"/>
      <c r="F65" s="12"/>
      <c r="G65" s="12"/>
      <c r="H65" s="12"/>
      <c r="I65" s="125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12"/>
      <c r="B66" s="12"/>
      <c r="C66" s="12"/>
      <c r="D66" s="12"/>
      <c r="E66" s="12"/>
      <c r="F66" s="12"/>
      <c r="G66" s="12"/>
      <c r="H66" s="12"/>
      <c r="I66" s="125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2"/>
      <c r="B67" s="12"/>
      <c r="C67" s="12"/>
      <c r="D67" s="12"/>
      <c r="E67" s="12"/>
      <c r="F67" s="12"/>
      <c r="G67" s="12"/>
      <c r="H67" s="12"/>
      <c r="I67" s="125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12"/>
      <c r="B68" s="12"/>
      <c r="C68" s="12"/>
      <c r="D68" s="12"/>
      <c r="E68" s="12"/>
      <c r="F68" s="12"/>
      <c r="G68" s="12"/>
      <c r="H68" s="12"/>
      <c r="I68" s="125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2"/>
      <c r="B69" s="12"/>
      <c r="C69" s="12"/>
      <c r="D69" s="12"/>
      <c r="E69" s="12"/>
      <c r="F69" s="12"/>
      <c r="G69" s="12"/>
      <c r="H69" s="12"/>
      <c r="I69" s="125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12"/>
      <c r="B70" s="12"/>
      <c r="C70" s="12"/>
      <c r="D70" s="12"/>
      <c r="E70" s="12"/>
      <c r="F70" s="12"/>
      <c r="G70" s="12"/>
      <c r="H70" s="12"/>
      <c r="I70" s="125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2"/>
      <c r="B71" s="12"/>
      <c r="C71" s="12"/>
      <c r="D71" s="12"/>
      <c r="E71" s="12"/>
      <c r="F71" s="12"/>
      <c r="G71" s="12"/>
      <c r="H71" s="12"/>
      <c r="I71" s="125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12"/>
      <c r="B72" s="12"/>
      <c r="C72" s="12"/>
      <c r="D72" s="12"/>
      <c r="E72" s="12"/>
      <c r="F72" s="12"/>
      <c r="G72" s="12"/>
      <c r="H72" s="12"/>
      <c r="I72" s="125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5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5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2"/>
      <c r="B75" s="12"/>
      <c r="C75" s="12"/>
      <c r="D75" s="12"/>
      <c r="E75" s="12"/>
      <c r="F75" s="12"/>
      <c r="G75" s="12"/>
      <c r="H75" s="12"/>
      <c r="I75" s="125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12"/>
      <c r="B76" s="12"/>
      <c r="C76" s="12"/>
      <c r="D76" s="12"/>
      <c r="E76" s="12"/>
      <c r="F76" s="12"/>
      <c r="G76" s="12"/>
      <c r="H76" s="12"/>
      <c r="I76" s="125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2"/>
      <c r="B77" s="12"/>
      <c r="C77" s="12"/>
      <c r="D77" s="12"/>
      <c r="E77" s="12"/>
      <c r="F77" s="12"/>
      <c r="G77" s="12"/>
      <c r="H77" s="12"/>
      <c r="I77" s="125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12"/>
      <c r="B78" s="12"/>
      <c r="C78" s="12"/>
      <c r="D78" s="12"/>
      <c r="E78" s="12"/>
      <c r="F78" s="12"/>
      <c r="G78" s="12"/>
      <c r="H78" s="12"/>
      <c r="I78" s="125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2"/>
      <c r="B79" s="12"/>
      <c r="C79" s="12"/>
      <c r="D79" s="12"/>
      <c r="E79" s="12"/>
      <c r="F79" s="12"/>
      <c r="G79" s="12"/>
      <c r="H79" s="12"/>
      <c r="I79" s="125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12"/>
      <c r="B80" s="12"/>
      <c r="C80" s="12"/>
      <c r="D80" s="12"/>
      <c r="E80" s="12"/>
      <c r="F80" s="12"/>
      <c r="G80" s="12"/>
      <c r="H80" s="12"/>
      <c r="I80" s="125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5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5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2"/>
      <c r="B83" s="12"/>
      <c r="C83" s="12"/>
      <c r="D83" s="12"/>
      <c r="E83" s="12"/>
      <c r="F83" s="12"/>
      <c r="G83" s="12"/>
      <c r="H83" s="12"/>
      <c r="I83" s="125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12"/>
      <c r="B84" s="12"/>
      <c r="C84" s="12"/>
      <c r="D84" s="12"/>
      <c r="E84" s="12"/>
      <c r="F84" s="12"/>
      <c r="G84" s="12"/>
      <c r="H84" s="12"/>
      <c r="I84" s="125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2"/>
      <c r="B85" s="12"/>
      <c r="C85" s="12"/>
      <c r="D85" s="12"/>
      <c r="E85" s="12"/>
      <c r="F85" s="12"/>
      <c r="G85" s="12"/>
      <c r="H85" s="12"/>
      <c r="I85" s="125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12"/>
      <c r="B86" s="12"/>
      <c r="C86" s="12"/>
      <c r="D86" s="12"/>
      <c r="E86" s="12"/>
      <c r="F86" s="12"/>
      <c r="G86" s="12"/>
      <c r="H86" s="12"/>
      <c r="I86" s="125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2"/>
      <c r="B87" s="12"/>
      <c r="C87" s="12"/>
      <c r="D87" s="12"/>
      <c r="E87" s="12"/>
      <c r="F87" s="12"/>
      <c r="G87" s="12"/>
      <c r="H87" s="12"/>
      <c r="I87" s="125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12"/>
      <c r="B88" s="12"/>
      <c r="C88" s="12"/>
      <c r="D88" s="12"/>
      <c r="E88" s="12"/>
      <c r="F88" s="12"/>
      <c r="G88" s="12"/>
      <c r="H88" s="12"/>
      <c r="I88" s="125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5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5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2"/>
      <c r="B91" s="12"/>
      <c r="C91" s="12"/>
      <c r="D91" s="12"/>
      <c r="E91" s="12"/>
      <c r="F91" s="12"/>
      <c r="G91" s="12"/>
      <c r="H91" s="12"/>
      <c r="I91" s="125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12"/>
      <c r="B92" s="12"/>
      <c r="C92" s="12"/>
      <c r="D92" s="12"/>
      <c r="E92" s="12"/>
      <c r="F92" s="12"/>
      <c r="G92" s="12"/>
      <c r="H92" s="12"/>
      <c r="I92" s="125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12"/>
      <c r="B93" s="12"/>
      <c r="C93" s="12"/>
      <c r="D93" s="12"/>
      <c r="E93" s="12"/>
      <c r="F93" s="12"/>
      <c r="G93" s="12"/>
      <c r="H93" s="12"/>
      <c r="I93" s="125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12"/>
      <c r="B94" s="12"/>
      <c r="C94" s="12"/>
      <c r="D94" s="12"/>
      <c r="E94" s="12"/>
      <c r="F94" s="12"/>
      <c r="G94" s="12"/>
      <c r="H94" s="12"/>
      <c r="I94" s="125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12"/>
      <c r="B95" s="12"/>
      <c r="C95" s="12"/>
      <c r="D95" s="12"/>
      <c r="E95" s="12"/>
      <c r="F95" s="12"/>
      <c r="G95" s="12"/>
      <c r="H95" s="12"/>
      <c r="I95" s="125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12"/>
      <c r="B96" s="12"/>
      <c r="C96" s="12"/>
      <c r="D96" s="12"/>
      <c r="E96" s="12"/>
      <c r="F96" s="12"/>
      <c r="G96" s="12"/>
      <c r="H96" s="12"/>
      <c r="I96" s="125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5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5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12"/>
      <c r="B99" s="12"/>
      <c r="C99" s="12"/>
      <c r="D99" s="12"/>
      <c r="E99" s="12"/>
      <c r="F99" s="12"/>
      <c r="G99" s="12"/>
      <c r="H99" s="12"/>
      <c r="I99" s="125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2"/>
      <c r="B100" s="12"/>
      <c r="C100" s="12"/>
      <c r="D100" s="12"/>
      <c r="E100" s="12"/>
      <c r="F100" s="12"/>
      <c r="G100" s="12"/>
      <c r="H100" s="12"/>
      <c r="I100" s="125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2"/>
      <c r="B101" s="12"/>
      <c r="C101" s="12"/>
      <c r="D101" s="12"/>
      <c r="E101" s="12"/>
      <c r="F101" s="12"/>
      <c r="G101" s="12"/>
      <c r="H101" s="12"/>
      <c r="I101" s="125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2"/>
      <c r="B102" s="12"/>
      <c r="C102" s="12"/>
      <c r="D102" s="12"/>
      <c r="E102" s="12"/>
      <c r="F102" s="12"/>
      <c r="G102" s="12"/>
      <c r="H102" s="12"/>
      <c r="I102" s="125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2"/>
      <c r="B103" s="12"/>
      <c r="C103" s="12"/>
      <c r="D103" s="12"/>
      <c r="E103" s="12"/>
      <c r="F103" s="12"/>
      <c r="G103" s="12"/>
      <c r="H103" s="12"/>
      <c r="I103" s="125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12"/>
      <c r="B104" s="12"/>
      <c r="C104" s="12"/>
      <c r="D104" s="12"/>
      <c r="E104" s="12"/>
      <c r="F104" s="12"/>
      <c r="G104" s="12"/>
      <c r="H104" s="12"/>
      <c r="I104" s="125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2"/>
      <c r="B105" s="12"/>
      <c r="C105" s="12"/>
      <c r="D105" s="12"/>
      <c r="E105" s="12"/>
      <c r="F105" s="12"/>
      <c r="G105" s="12"/>
      <c r="H105" s="12"/>
      <c r="I105" s="125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2"/>
      <c r="B106" s="12"/>
      <c r="C106" s="12"/>
      <c r="D106" s="12"/>
      <c r="E106" s="12"/>
      <c r="F106" s="12"/>
      <c r="G106" s="12"/>
      <c r="H106" s="12"/>
      <c r="I106" s="125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12"/>
      <c r="B107" s="12"/>
      <c r="C107" s="12"/>
      <c r="D107" s="12"/>
      <c r="E107" s="12"/>
      <c r="F107" s="12"/>
      <c r="G107" s="12"/>
      <c r="H107" s="12"/>
      <c r="I107" s="125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2"/>
      <c r="B108" s="12"/>
      <c r="C108" s="12"/>
      <c r="D108" s="12"/>
      <c r="E108" s="12"/>
      <c r="F108" s="12"/>
      <c r="G108" s="12"/>
      <c r="H108" s="12"/>
      <c r="I108" s="125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2"/>
      <c r="B109" s="12"/>
      <c r="C109" s="12"/>
      <c r="D109" s="12"/>
      <c r="E109" s="12"/>
      <c r="F109" s="12"/>
      <c r="G109" s="12"/>
      <c r="H109" s="12"/>
      <c r="I109" s="125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2"/>
      <c r="B110" s="12"/>
      <c r="C110" s="12"/>
      <c r="D110" s="12"/>
      <c r="E110" s="12"/>
      <c r="F110" s="12"/>
      <c r="G110" s="12"/>
      <c r="H110" s="12"/>
      <c r="I110" s="125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2"/>
      <c r="B111" s="12"/>
      <c r="C111" s="12"/>
      <c r="D111" s="12"/>
      <c r="E111" s="12"/>
      <c r="F111" s="12"/>
      <c r="G111" s="12"/>
      <c r="H111" s="12"/>
      <c r="I111" s="125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5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2"/>
      <c r="B113" s="12"/>
      <c r="C113" s="12"/>
      <c r="D113" s="12"/>
      <c r="E113" s="12"/>
      <c r="F113" s="12"/>
      <c r="G113" s="12"/>
      <c r="H113" s="12"/>
      <c r="I113" s="125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2"/>
      <c r="B114" s="12"/>
      <c r="C114" s="12"/>
      <c r="D114" s="12"/>
      <c r="E114" s="12"/>
      <c r="F114" s="12"/>
      <c r="G114" s="12"/>
      <c r="H114" s="12"/>
      <c r="I114" s="125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2"/>
      <c r="B115" s="12"/>
      <c r="C115" s="12"/>
      <c r="D115" s="12"/>
      <c r="E115" s="12"/>
      <c r="F115" s="12"/>
      <c r="G115" s="12"/>
      <c r="H115" s="12"/>
      <c r="I115" s="125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2"/>
      <c r="B116" s="12"/>
      <c r="C116" s="12"/>
      <c r="D116" s="12"/>
      <c r="E116" s="12"/>
      <c r="F116" s="12"/>
      <c r="G116" s="12"/>
      <c r="H116" s="12"/>
      <c r="I116" s="125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2"/>
      <c r="B117" s="12"/>
      <c r="C117" s="12"/>
      <c r="D117" s="12"/>
      <c r="E117" s="12"/>
      <c r="F117" s="12"/>
      <c r="G117" s="12"/>
      <c r="H117" s="12"/>
      <c r="I117" s="125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12"/>
      <c r="B118" s="12"/>
      <c r="C118" s="12"/>
      <c r="D118" s="12"/>
      <c r="E118" s="12"/>
      <c r="F118" s="12"/>
      <c r="G118" s="12"/>
      <c r="H118" s="12"/>
      <c r="I118" s="125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12"/>
      <c r="B119" s="12"/>
      <c r="C119" s="12"/>
      <c r="D119" s="12"/>
      <c r="E119" s="12"/>
      <c r="F119" s="12"/>
      <c r="G119" s="12"/>
      <c r="H119" s="12"/>
      <c r="I119" s="125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12"/>
      <c r="B120" s="12"/>
      <c r="C120" s="12"/>
      <c r="D120" s="12"/>
      <c r="E120" s="12"/>
      <c r="F120" s="12"/>
      <c r="G120" s="12"/>
      <c r="H120" s="12"/>
      <c r="I120" s="125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12"/>
      <c r="B121" s="12"/>
      <c r="C121" s="12"/>
      <c r="D121" s="12"/>
      <c r="E121" s="12"/>
      <c r="F121" s="12"/>
      <c r="G121" s="12"/>
      <c r="H121" s="12"/>
      <c r="I121" s="125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12"/>
      <c r="B122" s="12"/>
      <c r="C122" s="12"/>
      <c r="D122" s="12"/>
      <c r="E122" s="12"/>
      <c r="F122" s="12"/>
      <c r="G122" s="12"/>
      <c r="H122" s="12"/>
      <c r="I122" s="125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12"/>
      <c r="B123" s="12"/>
      <c r="C123" s="12"/>
      <c r="D123" s="12"/>
      <c r="E123" s="12"/>
      <c r="F123" s="12"/>
      <c r="G123" s="12"/>
      <c r="H123" s="12"/>
      <c r="I123" s="125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12"/>
      <c r="B124" s="12"/>
      <c r="C124" s="12"/>
      <c r="D124" s="12"/>
      <c r="E124" s="12"/>
      <c r="F124" s="12"/>
      <c r="G124" s="12"/>
      <c r="H124" s="12"/>
      <c r="I124" s="125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2"/>
      <c r="B125" s="12"/>
      <c r="C125" s="12"/>
      <c r="D125" s="12"/>
      <c r="E125" s="12"/>
      <c r="F125" s="12"/>
      <c r="G125" s="12"/>
      <c r="H125" s="12"/>
      <c r="I125" s="125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2"/>
      <c r="B126" s="12"/>
      <c r="C126" s="12"/>
      <c r="D126" s="12"/>
      <c r="E126" s="12"/>
      <c r="F126" s="12"/>
      <c r="G126" s="12"/>
      <c r="H126" s="12"/>
      <c r="I126" s="125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2"/>
      <c r="B127" s="12"/>
      <c r="C127" s="12"/>
      <c r="D127" s="12"/>
      <c r="E127" s="12"/>
      <c r="F127" s="12"/>
      <c r="G127" s="12"/>
      <c r="H127" s="12"/>
      <c r="I127" s="125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2"/>
      <c r="B128" s="12"/>
      <c r="C128" s="12"/>
      <c r="D128" s="12"/>
      <c r="E128" s="12"/>
      <c r="F128" s="12"/>
      <c r="G128" s="12"/>
      <c r="H128" s="12"/>
      <c r="I128" s="125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12"/>
      <c r="B129" s="12"/>
      <c r="C129" s="12"/>
      <c r="D129" s="12"/>
      <c r="E129" s="12"/>
      <c r="F129" s="12"/>
      <c r="G129" s="12"/>
      <c r="H129" s="12"/>
      <c r="I129" s="125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12"/>
      <c r="B130" s="12"/>
      <c r="C130" s="12"/>
      <c r="D130" s="12"/>
      <c r="E130" s="12"/>
      <c r="F130" s="12"/>
      <c r="G130" s="12"/>
      <c r="H130" s="12"/>
      <c r="I130" s="125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12"/>
      <c r="B131" s="12"/>
      <c r="C131" s="12"/>
      <c r="D131" s="12"/>
      <c r="E131" s="12"/>
      <c r="F131" s="12"/>
      <c r="G131" s="12"/>
      <c r="H131" s="12"/>
      <c r="I131" s="125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12"/>
      <c r="B132" s="12"/>
      <c r="C132" s="12"/>
      <c r="D132" s="12"/>
      <c r="E132" s="12"/>
      <c r="F132" s="12"/>
      <c r="G132" s="12"/>
      <c r="H132" s="12"/>
      <c r="I132" s="125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2"/>
      <c r="B133" s="12"/>
      <c r="C133" s="12"/>
      <c r="D133" s="12"/>
      <c r="E133" s="12"/>
      <c r="F133" s="12"/>
      <c r="G133" s="12"/>
      <c r="H133" s="12"/>
      <c r="I133" s="125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2"/>
      <c r="B134" s="12"/>
      <c r="C134" s="12"/>
      <c r="D134" s="12"/>
      <c r="E134" s="12"/>
      <c r="F134" s="12"/>
      <c r="G134" s="12"/>
      <c r="H134" s="12"/>
      <c r="I134" s="125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2"/>
      <c r="B135" s="12"/>
      <c r="C135" s="12"/>
      <c r="D135" s="12"/>
      <c r="E135" s="12"/>
      <c r="F135" s="12"/>
      <c r="G135" s="12"/>
      <c r="H135" s="12"/>
      <c r="I135" s="125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2"/>
      <c r="B136" s="12"/>
      <c r="C136" s="12"/>
      <c r="D136" s="12"/>
      <c r="E136" s="12"/>
      <c r="F136" s="12"/>
      <c r="G136" s="12"/>
      <c r="H136" s="12"/>
      <c r="I136" s="125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2"/>
      <c r="B137" s="12"/>
      <c r="C137" s="12"/>
      <c r="D137" s="12"/>
      <c r="E137" s="12"/>
      <c r="F137" s="12"/>
      <c r="G137" s="12"/>
      <c r="H137" s="12"/>
      <c r="I137" s="125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2"/>
      <c r="B138" s="12"/>
      <c r="C138" s="12"/>
      <c r="D138" s="12"/>
      <c r="E138" s="12"/>
      <c r="F138" s="12"/>
      <c r="G138" s="12"/>
      <c r="H138" s="12"/>
      <c r="I138" s="125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2"/>
      <c r="B139" s="12"/>
      <c r="C139" s="12"/>
      <c r="D139" s="12"/>
      <c r="E139" s="12"/>
      <c r="F139" s="12"/>
      <c r="G139" s="12"/>
      <c r="H139" s="12"/>
      <c r="I139" s="125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2"/>
      <c r="B140" s="12"/>
      <c r="C140" s="12"/>
      <c r="D140" s="12"/>
      <c r="E140" s="12"/>
      <c r="F140" s="12"/>
      <c r="G140" s="12"/>
      <c r="H140" s="12"/>
      <c r="I140" s="125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2"/>
      <c r="B141" s="12"/>
      <c r="C141" s="12"/>
      <c r="D141" s="12"/>
      <c r="E141" s="12"/>
      <c r="F141" s="12"/>
      <c r="G141" s="12"/>
      <c r="H141" s="12"/>
      <c r="I141" s="125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2"/>
      <c r="B142" s="12"/>
      <c r="C142" s="12"/>
      <c r="D142" s="12"/>
      <c r="E142" s="12"/>
      <c r="F142" s="12"/>
      <c r="G142" s="12"/>
      <c r="H142" s="12"/>
      <c r="I142" s="125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2"/>
      <c r="B143" s="12"/>
      <c r="C143" s="12"/>
      <c r="D143" s="12"/>
      <c r="E143" s="12"/>
      <c r="F143" s="12"/>
      <c r="G143" s="12"/>
      <c r="H143" s="12"/>
      <c r="I143" s="125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2"/>
      <c r="B144" s="12"/>
      <c r="C144" s="12"/>
      <c r="D144" s="12"/>
      <c r="E144" s="12"/>
      <c r="F144" s="12"/>
      <c r="G144" s="12"/>
      <c r="H144" s="12"/>
      <c r="I144" s="125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12"/>
      <c r="B145" s="12"/>
      <c r="C145" s="12"/>
      <c r="D145" s="12"/>
      <c r="E145" s="12"/>
      <c r="F145" s="12"/>
      <c r="G145" s="12"/>
      <c r="H145" s="12"/>
      <c r="I145" s="125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12"/>
      <c r="B146" s="12"/>
      <c r="C146" s="12"/>
      <c r="D146" s="12"/>
      <c r="E146" s="12"/>
      <c r="F146" s="12"/>
      <c r="G146" s="12"/>
      <c r="H146" s="12"/>
      <c r="I146" s="125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12"/>
      <c r="B147" s="12"/>
      <c r="C147" s="12"/>
      <c r="D147" s="12"/>
      <c r="E147" s="12"/>
      <c r="F147" s="12"/>
      <c r="G147" s="12"/>
      <c r="H147" s="12"/>
      <c r="I147" s="125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2"/>
      <c r="B148" s="12"/>
      <c r="C148" s="12"/>
      <c r="D148" s="12"/>
      <c r="E148" s="12"/>
      <c r="F148" s="12"/>
      <c r="G148" s="12"/>
      <c r="H148" s="12"/>
      <c r="I148" s="125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2"/>
      <c r="B149" s="12"/>
      <c r="C149" s="12"/>
      <c r="D149" s="12"/>
      <c r="E149" s="12"/>
      <c r="F149" s="12"/>
      <c r="G149" s="12"/>
      <c r="H149" s="12"/>
      <c r="I149" s="125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2"/>
      <c r="B150" s="12"/>
      <c r="C150" s="12"/>
      <c r="D150" s="12"/>
      <c r="E150" s="12"/>
      <c r="F150" s="12"/>
      <c r="G150" s="12"/>
      <c r="H150" s="12"/>
      <c r="I150" s="125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2"/>
      <c r="B151" s="12"/>
      <c r="C151" s="12"/>
      <c r="D151" s="12"/>
      <c r="E151" s="12"/>
      <c r="F151" s="12"/>
      <c r="G151" s="12"/>
      <c r="H151" s="12"/>
      <c r="I151" s="125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2"/>
      <c r="B152" s="12"/>
      <c r="C152" s="12"/>
      <c r="D152" s="12"/>
      <c r="E152" s="12"/>
      <c r="F152" s="12"/>
      <c r="G152" s="12"/>
      <c r="H152" s="12"/>
      <c r="I152" s="125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2"/>
      <c r="B153" s="12"/>
      <c r="C153" s="12"/>
      <c r="D153" s="12"/>
      <c r="E153" s="12"/>
      <c r="F153" s="12"/>
      <c r="G153" s="12"/>
      <c r="H153" s="12"/>
      <c r="I153" s="125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2"/>
      <c r="B154" s="12"/>
      <c r="C154" s="12"/>
      <c r="D154" s="12"/>
      <c r="E154" s="12"/>
      <c r="F154" s="12"/>
      <c r="G154" s="12"/>
      <c r="H154" s="12"/>
      <c r="I154" s="125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2"/>
      <c r="B155" s="12"/>
      <c r="C155" s="12"/>
      <c r="D155" s="12"/>
      <c r="E155" s="12"/>
      <c r="F155" s="12"/>
      <c r="G155" s="12"/>
      <c r="H155" s="12"/>
      <c r="I155" s="125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2"/>
      <c r="B156" s="12"/>
      <c r="C156" s="12"/>
      <c r="D156" s="12"/>
      <c r="E156" s="12"/>
      <c r="F156" s="12"/>
      <c r="G156" s="12"/>
      <c r="H156" s="12"/>
      <c r="I156" s="125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2"/>
      <c r="B157" s="12"/>
      <c r="C157" s="12"/>
      <c r="D157" s="12"/>
      <c r="E157" s="12"/>
      <c r="F157" s="12"/>
      <c r="G157" s="12"/>
      <c r="H157" s="12"/>
      <c r="I157" s="125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2"/>
      <c r="B158" s="12"/>
      <c r="C158" s="12"/>
      <c r="D158" s="12"/>
      <c r="E158" s="12"/>
      <c r="F158" s="12"/>
      <c r="G158" s="12"/>
      <c r="H158" s="12"/>
      <c r="I158" s="125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2"/>
      <c r="B159" s="12"/>
      <c r="C159" s="12"/>
      <c r="D159" s="12"/>
      <c r="E159" s="12"/>
      <c r="F159" s="12"/>
      <c r="G159" s="12"/>
      <c r="H159" s="12"/>
      <c r="I159" s="125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2"/>
      <c r="B160" s="12"/>
      <c r="C160" s="12"/>
      <c r="D160" s="12"/>
      <c r="E160" s="12"/>
      <c r="F160" s="12"/>
      <c r="G160" s="12"/>
      <c r="H160" s="12"/>
      <c r="I160" s="125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2"/>
      <c r="B161" s="12"/>
      <c r="C161" s="12"/>
      <c r="D161" s="12"/>
      <c r="E161" s="12"/>
      <c r="F161" s="12"/>
      <c r="G161" s="12"/>
      <c r="H161" s="12"/>
      <c r="I161" s="125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12"/>
      <c r="B162" s="12"/>
      <c r="C162" s="12"/>
      <c r="D162" s="12"/>
      <c r="E162" s="12"/>
      <c r="F162" s="12"/>
      <c r="G162" s="12"/>
      <c r="H162" s="12"/>
      <c r="I162" s="125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12"/>
      <c r="B163" s="12"/>
      <c r="C163" s="12"/>
      <c r="D163" s="12"/>
      <c r="E163" s="12"/>
      <c r="F163" s="12"/>
      <c r="G163" s="12"/>
      <c r="H163" s="12"/>
      <c r="I163" s="125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12"/>
      <c r="B164" s="12"/>
      <c r="C164" s="12"/>
      <c r="D164" s="12"/>
      <c r="E164" s="12"/>
      <c r="F164" s="12"/>
      <c r="G164" s="12"/>
      <c r="H164" s="12"/>
      <c r="I164" s="125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12"/>
      <c r="B165" s="12"/>
      <c r="C165" s="12"/>
      <c r="D165" s="12"/>
      <c r="E165" s="12"/>
      <c r="F165" s="12"/>
      <c r="G165" s="12"/>
      <c r="H165" s="12"/>
      <c r="I165" s="125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12"/>
      <c r="B166" s="12"/>
      <c r="C166" s="12"/>
      <c r="D166" s="12"/>
      <c r="E166" s="12"/>
      <c r="F166" s="12"/>
      <c r="G166" s="12"/>
      <c r="H166" s="12"/>
      <c r="I166" s="125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12"/>
      <c r="B167" s="12"/>
      <c r="C167" s="12"/>
      <c r="D167" s="12"/>
      <c r="E167" s="12"/>
      <c r="F167" s="12"/>
      <c r="G167" s="12"/>
      <c r="H167" s="12"/>
      <c r="I167" s="125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12"/>
      <c r="B168" s="12"/>
      <c r="C168" s="12"/>
      <c r="D168" s="12"/>
      <c r="E168" s="12"/>
      <c r="F168" s="12"/>
      <c r="G168" s="12"/>
      <c r="H168" s="12"/>
      <c r="I168" s="125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12"/>
      <c r="B169" s="12"/>
      <c r="C169" s="12"/>
      <c r="D169" s="12"/>
      <c r="E169" s="12"/>
      <c r="F169" s="12"/>
      <c r="G169" s="12"/>
      <c r="H169" s="12"/>
      <c r="I169" s="125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12"/>
      <c r="B170" s="12"/>
      <c r="C170" s="12"/>
      <c r="D170" s="12"/>
      <c r="E170" s="12"/>
      <c r="F170" s="12"/>
      <c r="G170" s="12"/>
      <c r="H170" s="12"/>
      <c r="I170" s="125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12"/>
      <c r="B171" s="12"/>
      <c r="C171" s="12"/>
      <c r="D171" s="12"/>
      <c r="E171" s="12"/>
      <c r="F171" s="12"/>
      <c r="G171" s="12"/>
      <c r="H171" s="12"/>
      <c r="I171" s="125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12"/>
      <c r="B172" s="12"/>
      <c r="C172" s="12"/>
      <c r="D172" s="12"/>
      <c r="E172" s="12"/>
      <c r="F172" s="12"/>
      <c r="G172" s="12"/>
      <c r="H172" s="12"/>
      <c r="I172" s="125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12"/>
      <c r="B173" s="12"/>
      <c r="C173" s="12"/>
      <c r="D173" s="12"/>
      <c r="E173" s="12"/>
      <c r="F173" s="12"/>
      <c r="G173" s="12"/>
      <c r="H173" s="12"/>
      <c r="I173" s="125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2"/>
      <c r="B174" s="12"/>
      <c r="C174" s="12"/>
      <c r="D174" s="12"/>
      <c r="E174" s="12"/>
      <c r="F174" s="12"/>
      <c r="G174" s="12"/>
      <c r="H174" s="12"/>
      <c r="I174" s="125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2"/>
      <c r="B175" s="12"/>
      <c r="C175" s="12"/>
      <c r="D175" s="12"/>
      <c r="E175" s="12"/>
      <c r="F175" s="12"/>
      <c r="G175" s="12"/>
      <c r="H175" s="12"/>
      <c r="I175" s="125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2"/>
      <c r="B176" s="12"/>
      <c r="C176" s="12"/>
      <c r="D176" s="12"/>
      <c r="E176" s="12"/>
      <c r="F176" s="12"/>
      <c r="G176" s="12"/>
      <c r="H176" s="12"/>
      <c r="I176" s="125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2"/>
      <c r="B177" s="12"/>
      <c r="C177" s="12"/>
      <c r="D177" s="12"/>
      <c r="E177" s="12"/>
      <c r="F177" s="12"/>
      <c r="G177" s="12"/>
      <c r="H177" s="12"/>
      <c r="I177" s="125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2"/>
      <c r="B178" s="12"/>
      <c r="C178" s="12"/>
      <c r="D178" s="12"/>
      <c r="E178" s="12"/>
      <c r="F178" s="12"/>
      <c r="G178" s="12"/>
      <c r="H178" s="12"/>
      <c r="I178" s="125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12"/>
      <c r="B179" s="12"/>
      <c r="C179" s="12"/>
      <c r="D179" s="12"/>
      <c r="E179" s="12"/>
      <c r="F179" s="12"/>
      <c r="G179" s="12"/>
      <c r="H179" s="12"/>
      <c r="I179" s="125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12"/>
      <c r="B180" s="12"/>
      <c r="C180" s="12"/>
      <c r="D180" s="12"/>
      <c r="E180" s="12"/>
      <c r="F180" s="12"/>
      <c r="G180" s="12"/>
      <c r="H180" s="12"/>
      <c r="I180" s="125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12"/>
      <c r="B181" s="12"/>
      <c r="C181" s="12"/>
      <c r="D181" s="12"/>
      <c r="E181" s="12"/>
      <c r="F181" s="12"/>
      <c r="G181" s="12"/>
      <c r="H181" s="12"/>
      <c r="I181" s="125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2"/>
      <c r="B182" s="12"/>
      <c r="C182" s="12"/>
      <c r="D182" s="12"/>
      <c r="E182" s="12"/>
      <c r="F182" s="12"/>
      <c r="G182" s="12"/>
      <c r="H182" s="12"/>
      <c r="I182" s="125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2"/>
      <c r="B183" s="12"/>
      <c r="C183" s="12"/>
      <c r="D183" s="12"/>
      <c r="E183" s="12"/>
      <c r="F183" s="12"/>
      <c r="G183" s="12"/>
      <c r="H183" s="12"/>
      <c r="I183" s="125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2"/>
      <c r="B184" s="12"/>
      <c r="C184" s="12"/>
      <c r="D184" s="12"/>
      <c r="E184" s="12"/>
      <c r="F184" s="12"/>
      <c r="G184" s="12"/>
      <c r="H184" s="12"/>
      <c r="I184" s="125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2"/>
      <c r="B185" s="12"/>
      <c r="C185" s="12"/>
      <c r="D185" s="12"/>
      <c r="E185" s="12"/>
      <c r="F185" s="12"/>
      <c r="G185" s="12"/>
      <c r="H185" s="12"/>
      <c r="I185" s="125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2"/>
      <c r="B186" s="12"/>
      <c r="C186" s="12"/>
      <c r="D186" s="12"/>
      <c r="E186" s="12"/>
      <c r="F186" s="12"/>
      <c r="G186" s="12"/>
      <c r="H186" s="12"/>
      <c r="I186" s="125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2"/>
      <c r="B187" s="12"/>
      <c r="C187" s="12"/>
      <c r="D187" s="12"/>
      <c r="E187" s="12"/>
      <c r="F187" s="12"/>
      <c r="G187" s="12"/>
      <c r="H187" s="12"/>
      <c r="I187" s="125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2"/>
      <c r="B188" s="12"/>
      <c r="C188" s="12"/>
      <c r="D188" s="12"/>
      <c r="E188" s="12"/>
      <c r="F188" s="12"/>
      <c r="G188" s="12"/>
      <c r="H188" s="12"/>
      <c r="I188" s="125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2"/>
      <c r="B189" s="12"/>
      <c r="C189" s="12"/>
      <c r="D189" s="12"/>
      <c r="E189" s="12"/>
      <c r="F189" s="12"/>
      <c r="G189" s="12"/>
      <c r="H189" s="12"/>
      <c r="I189" s="125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2"/>
      <c r="B190" s="12"/>
      <c r="C190" s="12"/>
      <c r="D190" s="12"/>
      <c r="E190" s="12"/>
      <c r="F190" s="12"/>
      <c r="G190" s="12"/>
      <c r="H190" s="12"/>
      <c r="I190" s="125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2"/>
      <c r="B191" s="12"/>
      <c r="C191" s="12"/>
      <c r="D191" s="12"/>
      <c r="E191" s="12"/>
      <c r="F191" s="12"/>
      <c r="G191" s="12"/>
      <c r="H191" s="12"/>
      <c r="I191" s="125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2"/>
      <c r="B192" s="12"/>
      <c r="C192" s="12"/>
      <c r="D192" s="12"/>
      <c r="E192" s="12"/>
      <c r="F192" s="12"/>
      <c r="G192" s="12"/>
      <c r="H192" s="12"/>
      <c r="I192" s="125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2"/>
      <c r="B193" s="12"/>
      <c r="C193" s="12"/>
      <c r="D193" s="12"/>
      <c r="E193" s="12"/>
      <c r="F193" s="12"/>
      <c r="G193" s="12"/>
      <c r="H193" s="12"/>
      <c r="I193" s="125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2"/>
      <c r="B194" s="12"/>
      <c r="C194" s="12"/>
      <c r="D194" s="12"/>
      <c r="E194" s="12"/>
      <c r="F194" s="12"/>
      <c r="G194" s="12"/>
      <c r="H194" s="12"/>
      <c r="I194" s="125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12"/>
      <c r="B195" s="12"/>
      <c r="C195" s="12"/>
      <c r="D195" s="12"/>
      <c r="E195" s="12"/>
      <c r="F195" s="12"/>
      <c r="G195" s="12"/>
      <c r="H195" s="12"/>
      <c r="I195" s="125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2"/>
      <c r="B196" s="12"/>
      <c r="C196" s="12"/>
      <c r="D196" s="12"/>
      <c r="E196" s="12"/>
      <c r="F196" s="12"/>
      <c r="G196" s="12"/>
      <c r="H196" s="12"/>
      <c r="I196" s="125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2"/>
      <c r="B197" s="12"/>
      <c r="C197" s="12"/>
      <c r="D197" s="12"/>
      <c r="E197" s="12"/>
      <c r="F197" s="12"/>
      <c r="G197" s="12"/>
      <c r="H197" s="12"/>
      <c r="I197" s="125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2"/>
      <c r="B198" s="12"/>
      <c r="C198" s="12"/>
      <c r="D198" s="12"/>
      <c r="E198" s="12"/>
      <c r="F198" s="12"/>
      <c r="G198" s="12"/>
      <c r="H198" s="12"/>
      <c r="I198" s="125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2"/>
      <c r="B199" s="12"/>
      <c r="C199" s="12"/>
      <c r="D199" s="12"/>
      <c r="E199" s="12"/>
      <c r="F199" s="12"/>
      <c r="G199" s="12"/>
      <c r="H199" s="12"/>
      <c r="I199" s="125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2"/>
      <c r="B200" s="12"/>
      <c r="C200" s="12"/>
      <c r="D200" s="12"/>
      <c r="E200" s="12"/>
      <c r="F200" s="12"/>
      <c r="G200" s="12"/>
      <c r="H200" s="12"/>
      <c r="I200" s="125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12"/>
      <c r="B201" s="12"/>
      <c r="C201" s="12"/>
      <c r="D201" s="12"/>
      <c r="E201" s="12"/>
      <c r="F201" s="12"/>
      <c r="G201" s="12"/>
      <c r="H201" s="12"/>
      <c r="I201" s="125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12"/>
      <c r="B202" s="12"/>
      <c r="C202" s="12"/>
      <c r="D202" s="12"/>
      <c r="E202" s="12"/>
      <c r="F202" s="12"/>
      <c r="G202" s="12"/>
      <c r="H202" s="12"/>
      <c r="I202" s="125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12"/>
      <c r="B203" s="12"/>
      <c r="C203" s="12"/>
      <c r="D203" s="12"/>
      <c r="E203" s="12"/>
      <c r="F203" s="12"/>
      <c r="G203" s="12"/>
      <c r="H203" s="12"/>
      <c r="I203" s="125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12"/>
      <c r="B204" s="12"/>
      <c r="C204" s="12"/>
      <c r="D204" s="12"/>
      <c r="E204" s="12"/>
      <c r="F204" s="12"/>
      <c r="G204" s="12"/>
      <c r="H204" s="12"/>
      <c r="I204" s="125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2"/>
      <c r="B205" s="12"/>
      <c r="C205" s="12"/>
      <c r="D205" s="12"/>
      <c r="E205" s="12"/>
      <c r="F205" s="12"/>
      <c r="G205" s="12"/>
      <c r="H205" s="12"/>
      <c r="I205" s="125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2"/>
      <c r="B206" s="12"/>
      <c r="C206" s="12"/>
      <c r="D206" s="12"/>
      <c r="E206" s="12"/>
      <c r="F206" s="12"/>
      <c r="G206" s="12"/>
      <c r="H206" s="12"/>
      <c r="I206" s="125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2"/>
      <c r="B207" s="12"/>
      <c r="C207" s="12"/>
      <c r="D207" s="12"/>
      <c r="E207" s="12"/>
      <c r="F207" s="12"/>
      <c r="G207" s="12"/>
      <c r="H207" s="12"/>
      <c r="I207" s="125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2"/>
      <c r="B208" s="12"/>
      <c r="C208" s="12"/>
      <c r="D208" s="12"/>
      <c r="E208" s="12"/>
      <c r="F208" s="12"/>
      <c r="G208" s="12"/>
      <c r="H208" s="12"/>
      <c r="I208" s="125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2"/>
      <c r="B209" s="12"/>
      <c r="C209" s="12"/>
      <c r="D209" s="12"/>
      <c r="E209" s="12"/>
      <c r="F209" s="12"/>
      <c r="G209" s="12"/>
      <c r="H209" s="12"/>
      <c r="I209" s="125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2"/>
      <c r="B210" s="12"/>
      <c r="C210" s="12"/>
      <c r="D210" s="12"/>
      <c r="E210" s="12"/>
      <c r="F210" s="12"/>
      <c r="G210" s="12"/>
      <c r="H210" s="12"/>
      <c r="I210" s="125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2"/>
      <c r="B211" s="12"/>
      <c r="C211" s="12"/>
      <c r="D211" s="12"/>
      <c r="E211" s="12"/>
      <c r="F211" s="12"/>
      <c r="G211" s="12"/>
      <c r="H211" s="12"/>
      <c r="I211" s="125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2"/>
      <c r="B212" s="12"/>
      <c r="C212" s="12"/>
      <c r="D212" s="12"/>
      <c r="E212" s="12"/>
      <c r="F212" s="12"/>
      <c r="G212" s="12"/>
      <c r="H212" s="12"/>
      <c r="I212" s="125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5">
    <mergeCell ref="B2:F2"/>
    <mergeCell ref="B3:F3"/>
    <mergeCell ref="B4:F4"/>
    <mergeCell ref="E5:F5"/>
    <mergeCell ref="E6:F6"/>
  </mergeCells>
  <dataValidations>
    <dataValidation type="list" allowBlank="1" showInputMessage="1" showErrorMessage="1" prompt=" - " sqref="F1 F7:F137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3.5"/>
    <col customWidth="1" min="3" max="3" width="19.38"/>
    <col customWidth="1" min="4" max="7" width="9.0"/>
    <col customWidth="1" min="8" max="8" width="33.13"/>
    <col customWidth="1" min="9" max="26" width="8.0"/>
  </cols>
  <sheetData>
    <row r="1" ht="25.5" customHeight="1">
      <c r="A1" s="12"/>
      <c r="B1" s="134" t="s">
        <v>124</v>
      </c>
      <c r="C1" s="135"/>
      <c r="D1" s="135"/>
      <c r="E1" s="135"/>
      <c r="F1" s="135"/>
      <c r="G1" s="135"/>
      <c r="H1" s="135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4.25" customHeight="1">
      <c r="A2" s="136"/>
      <c r="B2" s="136"/>
      <c r="C2" s="12"/>
      <c r="D2" s="12"/>
      <c r="E2" s="12"/>
      <c r="F2" s="12"/>
      <c r="G2" s="12"/>
      <c r="H2" s="137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2.0" customHeight="1">
      <c r="A3" s="12"/>
      <c r="B3" s="138" t="s">
        <v>2</v>
      </c>
      <c r="C3" s="51" t="s">
        <v>125</v>
      </c>
      <c r="D3" s="8"/>
      <c r="E3" s="139" t="s">
        <v>4</v>
      </c>
      <c r="F3" s="8"/>
      <c r="G3" s="140"/>
      <c r="H3" s="141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2.0" customHeight="1">
      <c r="A4" s="12"/>
      <c r="B4" s="138" t="s">
        <v>6</v>
      </c>
      <c r="C4" s="51" t="s">
        <v>126</v>
      </c>
      <c r="D4" s="8"/>
      <c r="E4" s="139" t="s">
        <v>8</v>
      </c>
      <c r="F4" s="8"/>
      <c r="G4" s="140"/>
      <c r="H4" s="141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2.0" customHeight="1">
      <c r="A5" s="12"/>
      <c r="B5" s="142" t="s">
        <v>10</v>
      </c>
      <c r="C5" s="51" t="str">
        <f>C4&amp;"_"&amp;"Test Report"&amp;"_"&amp;"vx.x"</f>
        <v>&lt;Project Code&gt;_Test Report_vx.x</v>
      </c>
      <c r="D5" s="8"/>
      <c r="E5" s="139" t="s">
        <v>11</v>
      </c>
      <c r="F5" s="8"/>
      <c r="G5" s="140"/>
      <c r="H5" s="143" t="s">
        <v>127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21.75" customHeight="1">
      <c r="A6" s="136"/>
      <c r="B6" s="142" t="s">
        <v>128</v>
      </c>
      <c r="C6" s="144" t="s">
        <v>129</v>
      </c>
      <c r="D6" s="7"/>
      <c r="E6" s="7"/>
      <c r="F6" s="7"/>
      <c r="G6" s="7"/>
      <c r="H6" s="8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4.25" customHeight="1">
      <c r="A7" s="136"/>
      <c r="B7" s="26"/>
      <c r="C7" s="145"/>
      <c r="D7" s="12"/>
      <c r="E7" s="12"/>
      <c r="F7" s="12"/>
      <c r="G7" s="12"/>
      <c r="H7" s="137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2.75" customHeight="1">
      <c r="A8" s="12"/>
      <c r="B8" s="26"/>
      <c r="C8" s="145"/>
      <c r="D8" s="12"/>
      <c r="E8" s="12"/>
      <c r="F8" s="12"/>
      <c r="G8" s="12"/>
      <c r="H8" s="137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2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2.75" customHeight="1">
      <c r="A10" s="146"/>
      <c r="B10" s="147" t="s">
        <v>28</v>
      </c>
      <c r="C10" s="148" t="s">
        <v>130</v>
      </c>
      <c r="D10" s="149" t="s">
        <v>43</v>
      </c>
      <c r="E10" s="148" t="s">
        <v>46</v>
      </c>
      <c r="F10" s="148" t="s">
        <v>48</v>
      </c>
      <c r="G10" s="150" t="s">
        <v>49</v>
      </c>
      <c r="H10" s="151" t="s">
        <v>131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>
      <c r="A11" s="146"/>
      <c r="B11" s="152">
        <v>1.0</v>
      </c>
      <c r="C11" s="153" t="str">
        <f>Module1!B2</f>
        <v>Module1 </v>
      </c>
      <c r="D11" s="154">
        <f>Module1!A6</f>
        <v>0</v>
      </c>
      <c r="E11" s="154">
        <f>Module1!B6</f>
        <v>0</v>
      </c>
      <c r="F11" s="154">
        <f>Module1!C6</f>
        <v>7</v>
      </c>
      <c r="G11" s="155">
        <f>Module1!D6</f>
        <v>0</v>
      </c>
      <c r="H11" s="156">
        <f>Module1!E6</f>
        <v>7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>
      <c r="A12" s="146"/>
      <c r="B12" s="152">
        <v>2.0</v>
      </c>
      <c r="C12" s="153" t="str">
        <f>Module2!B2</f>
        <v>Module2</v>
      </c>
      <c r="D12" s="154">
        <f>Module2!A6</f>
        <v>0</v>
      </c>
      <c r="E12" s="154">
        <f>Module2!B6</f>
        <v>0</v>
      </c>
      <c r="F12" s="154">
        <f>Module2!C6</f>
        <v>5</v>
      </c>
      <c r="G12" s="155">
        <f>Module2!D6</f>
        <v>0</v>
      </c>
      <c r="H12" s="156">
        <f>Module2!E6</f>
        <v>5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>
      <c r="A13" s="146"/>
      <c r="B13" s="152"/>
      <c r="C13" s="153"/>
      <c r="D13" s="154"/>
      <c r="E13" s="154"/>
      <c r="F13" s="154"/>
      <c r="G13" s="155"/>
      <c r="H13" s="156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A14" s="146"/>
      <c r="B14" s="157"/>
      <c r="C14" s="158" t="s">
        <v>132</v>
      </c>
      <c r="D14" s="159">
        <f t="shared" ref="D14:H14" si="1">SUM(D9:D13)</f>
        <v>0</v>
      </c>
      <c r="E14" s="159">
        <f t="shared" si="1"/>
        <v>0</v>
      </c>
      <c r="F14" s="159">
        <f t="shared" si="1"/>
        <v>12</v>
      </c>
      <c r="G14" s="159">
        <f t="shared" si="1"/>
        <v>0</v>
      </c>
      <c r="H14" s="160">
        <f t="shared" si="1"/>
        <v>12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A15" s="12"/>
      <c r="B15" s="161"/>
      <c r="C15" s="12"/>
      <c r="D15" s="162"/>
      <c r="E15" s="163"/>
      <c r="F15" s="163"/>
      <c r="G15" s="163"/>
      <c r="H15" s="163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A16" s="12"/>
      <c r="B16" s="12"/>
      <c r="C16" s="10" t="s">
        <v>133</v>
      </c>
      <c r="D16" s="12"/>
      <c r="E16" s="164">
        <f>(D14+E14)*100/(H14-G14)</f>
        <v>0</v>
      </c>
      <c r="F16" s="12" t="s">
        <v>134</v>
      </c>
      <c r="G16" s="12"/>
      <c r="H16" s="103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A17" s="12"/>
      <c r="B17" s="12"/>
      <c r="C17" s="10" t="s">
        <v>135</v>
      </c>
      <c r="D17" s="12"/>
      <c r="E17" s="164">
        <f>D14*100/(H14-G14)</f>
        <v>0</v>
      </c>
      <c r="F17" s="12" t="s">
        <v>134</v>
      </c>
      <c r="G17" s="12"/>
      <c r="H17" s="103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